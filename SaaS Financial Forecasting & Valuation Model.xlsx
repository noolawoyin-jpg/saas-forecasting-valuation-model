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come Statement" sheetId="2" state="visible" r:id="rId4"/>
    <sheet name="Cash Flow Statement" sheetId="3" state="visible" r:id="rId5"/>
    <sheet name="DCF Valuation" sheetId="4" state="visible" r:id="rId6"/>
    <sheet name="Scenario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<sst xmlns="http://schemas.openxmlformats.org/spreadsheetml/2006/main" count="187" uniqueCount="153">
  <si>
    <t xml:space="preserve">  NovaSaaS Inc. — Model Assumptions &amp; Drivers</t>
  </si>
  <si>
    <t xml:space="preserve">All figures in $mm unless noted. Blue = hardcoded input. Black = formula.</t>
  </si>
  <si>
    <t xml:space="preserve">Assumption / Driver</t>
  </si>
  <si>
    <t xml:space="preserve">FY2022A</t>
  </si>
  <si>
    <t xml:space="preserve">FY2023A</t>
  </si>
  <si>
    <t xml:space="preserve">FY2024A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</si>
  <si>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</si>
  <si>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</si>
  <si>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</si>
  <si>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</si>
  <si>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</si>
  <si>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  Revenue Assumptions</t>
  </si>
  <si>
    <t xml:space="preserve">ARR — Beginning of Period ($mm)</t>
  </si>
  <si>
    <t xml:space="preserve">—</t>
  </si>
  <si>
    <t xml:space="preserve">Net New ARR ($mm)</t>
  </si>
  <si>
    <t xml:space="preserve">ARR Growth Rate</t>
  </si>
  <si>
    <t xml:space="preserve">ARR — End of Period ($mm)</t>
  </si>
  <si>
    <t xml:space="preserve">Revenue Recognition (% of ARR)</t>
  </si>
  <si>
    <t xml:space="preserve">Total Revenue ($mm)</t>
  </si>
  <si>
    <t xml:space="preserve">  Margin &amp; Cost Assumptions</t>
  </si>
  <si>
    <t xml:space="preserve">Gross Margin %</t>
  </si>
  <si>
    <t xml:space="preserve">S&amp;M % of Revenue</t>
  </si>
  <si>
    <t xml:space="preserve">R&amp;D % of Revenue</t>
  </si>
  <si>
    <t xml:space="preserve">G&amp;A % of Revenue</t>
  </si>
  <si>
    <t xml:space="preserve">D&amp;A % of Revenue</t>
  </si>
  <si>
    <t xml:space="preserve">Effective Tax Rate</t>
  </si>
  <si>
    <t xml:space="preserve">  Balance Sheet &amp; Working Capital</t>
  </si>
  <si>
    <t xml:space="preserve">DSO (Days)</t>
  </si>
  <si>
    <t xml:space="preserve">DPO (Days)</t>
  </si>
  <si>
    <t xml:space="preserve">Deferred Revenue (days)</t>
  </si>
  <si>
    <t xml:space="preserve">Capex % of Revenue</t>
  </si>
  <si>
    <t xml:space="preserve">  DCF Valuation Assumptions</t>
  </si>
  <si>
    <t xml:space="preserve">WACC</t>
  </si>
  <si>
    <t xml:space="preserve">← Discount rate (risk-free + equity risk premium + size/specific risk)</t>
  </si>
  <si>
    <t xml:space="preserve">Terminal Growth Rate</t>
  </si>
  <si>
    <t xml:space="preserve">← Long-term perpetuity growth assumption</t>
  </si>
  <si>
    <t xml:space="preserve">Net Debt / (Cash) ($mm)</t>
  </si>
  <si>
    <t xml:space="preserve">← Negative = net cash position</t>
  </si>
  <si>
    <t xml:space="preserve">Diluted Shares Outstanding (mm)</t>
  </si>
  <si>
    <t xml:space="preserve">  NovaSaaS Inc. — Income Statement ($mm)</t>
  </si>
  <si>
    <t xml:space="preserve">Source: Hypothetical SaaS company for portfolio demonstration. All figures in $mm.</t>
  </si>
  <si>
    <t xml:space="preserve">  Revenue</t>
  </si>
  <si>
    <t xml:space="preserve">  Subscription Revenue</t>
  </si>
  <si>
    <t xml:space="preserve">  Professional Services</t>
  </si>
  <si>
    <t xml:space="preserve">Total Revenue</t>
  </si>
  <si>
    <t xml:space="preserve">  Cost of Revenue</t>
  </si>
  <si>
    <t xml:space="preserve">Gross Profit</t>
  </si>
  <si>
    <t xml:space="preserve">  Gross Margin %</t>
  </si>
  <si>
    <t xml:space="preserve">  Operating Expenses</t>
  </si>
  <si>
    <t xml:space="preserve">  Sales &amp; Marketing</t>
  </si>
  <si>
    <t xml:space="preserve">  Research &amp; Development</t>
  </si>
  <si>
    <t xml:space="preserve">  General &amp; Administrative</t>
  </si>
  <si>
    <t xml:space="preserve">  Depreciation &amp; Amortization</t>
  </si>
  <si>
    <t xml:space="preserve">Total OpEx</t>
  </si>
  <si>
    <t xml:space="preserve">EBIT (Operating Income)</t>
  </si>
  <si>
    <t xml:space="preserve">  EBIT Margin %</t>
  </si>
  <si>
    <t xml:space="preserve">  Below the Line</t>
  </si>
  <si>
    <t xml:space="preserve">  Interest Income / (Expense)</t>
  </si>
  <si>
    <t xml:space="preserve">Pre-Tax Income</t>
  </si>
  <si>
    <t xml:space="preserve">  Income Tax Expense</t>
  </si>
  <si>
    <t xml:space="preserve">Net Income</t>
  </si>
  <si>
    <t xml:space="preserve">  Net Margin %</t>
  </si>
  <si>
    <t xml:space="preserve">  EBITDA Bridge</t>
  </si>
  <si>
    <t xml:space="preserve">EBITDA</t>
  </si>
  <si>
    <t xml:space="preserve">  EBITDA Margin %</t>
  </si>
  <si>
    <t xml:space="preserve">YoY Revenue Growth</t>
  </si>
  <si>
    <t xml:space="preserve">  NovaSaaS Inc. — Cash Flow Statement ($mm)</t>
  </si>
  <si>
    <t xml:space="preserve">  Operating Activities</t>
  </si>
  <si>
    <t xml:space="preserve">  Net Income</t>
  </si>
  <si>
    <t xml:space="preserve">  + D&amp;A</t>
  </si>
  <si>
    <t xml:space="preserve">  Δ Accounts Receivable</t>
  </si>
  <si>
    <t xml:space="preserve">  Δ Deferred Revenue</t>
  </si>
  <si>
    <t xml:space="preserve">  Δ Accounts Payable</t>
  </si>
  <si>
    <t xml:space="preserve">Cash from Operations</t>
  </si>
  <si>
    <t xml:space="preserve">  Investing Activities</t>
  </si>
  <si>
    <t xml:space="preserve">  Capital Expenditures</t>
  </si>
  <si>
    <t xml:space="preserve">Cash from Investing</t>
  </si>
  <si>
    <t xml:space="preserve">  Financing Activities</t>
  </si>
  <si>
    <t xml:space="preserve">  Share Repurchases / Issuances</t>
  </si>
  <si>
    <t xml:space="preserve">  Debt Issuance / (Repayment)</t>
  </si>
  <si>
    <t xml:space="preserve">Cash from Financing</t>
  </si>
  <si>
    <t xml:space="preserve">Net Change in Cash</t>
  </si>
  <si>
    <t xml:space="preserve">Beginning Cash</t>
  </si>
  <si>
    <t xml:space="preserve">Ending Cash</t>
  </si>
  <si>
    <t xml:space="preserve">Free Cash Flow</t>
  </si>
  <si>
    <t xml:space="preserve">  FCF Margin %</t>
  </si>
  <si>
    <t xml:space="preserve">  NovaSaaS Inc. — DCF Valuation</t>
  </si>
  <si>
    <t xml:space="preserve">  Free Cash Flow Projections</t>
  </si>
  <si>
    <t xml:space="preserve">  Free Cash Flow ($mm)</t>
  </si>
  <si>
    <t xml:space="preserve">  Discount Period</t>
  </si>
  <si>
    <t xml:space="preserve">  Discount Factor</t>
  </si>
  <si>
    <t xml:space="preserve">  PV of FCF</t>
  </si>
  <si>
    <t xml:space="preserve">  Terminal Value</t>
  </si>
  <si>
    <t xml:space="preserve">  Terminal Year FCF ($mm)</t>
  </si>
  <si>
    <t xml:space="preserve">  Terminal Value (Gordon Growth)</t>
  </si>
  <si>
    <t xml:space="preserve">  PV of Terminal Value</t>
  </si>
  <si>
    <t xml:space="preserve">  Enterprise Value Bridge</t>
  </si>
  <si>
    <t xml:space="preserve">  PV of FCFs ($mm)</t>
  </si>
  <si>
    <t xml:space="preserve">  PV of Terminal Value ($mm)</t>
  </si>
  <si>
    <t xml:space="preserve">Enterprise Value ($mm)</t>
  </si>
  <si>
    <t xml:space="preserve">  Less: Net Debt / (+Cash) ($mm)</t>
  </si>
  <si>
    <t xml:space="preserve">Equity Value ($mm)</t>
  </si>
  <si>
    <t xml:space="preserve">Implied Share Price</t>
  </si>
  <si>
    <t xml:space="preserve">  Sensitivity Analysis — Implied Share Price</t>
  </si>
  <si>
    <t xml:space="preserve">WACC →</t>
  </si>
  <si>
    <t xml:space="preserve">TGR ↓ \ WACC →</t>
  </si>
  <si>
    <t xml:space="preserve">8%</t>
  </si>
  <si>
    <t xml:space="preserve">9%</t>
  </si>
  <si>
    <t xml:space="preserve">10%</t>
  </si>
  <si>
    <t xml:space="preserve">11%</t>
  </si>
  <si>
    <t xml:space="preserve">12%</t>
  </si>
  <si>
    <t xml:space="preserve">2.0%</t>
  </si>
  <si>
    <t xml:space="preserve">2.5%</t>
  </si>
  <si>
    <t xml:space="preserve">3.0%</t>
  </si>
  <si>
    <t xml:space="preserve">3.5%</t>
  </si>
  <si>
    <t xml:space="preserve">4.0%</t>
  </si>
  <si>
    <t xml:space="preserve">Yellow cell = base case (WACC=10%, TGR=3%)</t>
  </si>
  <si>
    <t xml:space="preserve">  Scenario Analysis — Revenue &amp; EBITDA Bridge</t>
  </si>
  <si>
    <t xml:space="preserve">Metric</t>
  </si>
  <si>
    <t xml:space="preserve">Bear Case</t>
  </si>
  <si>
    <t xml:space="preserve">Base Case</t>
  </si>
  <si>
    <t xml:space="preserve">Bull Case</t>
  </si>
  <si>
    <t xml:space="preserve">ARR Growth Rate (FY2025E)</t>
  </si>
  <si>
    <t xml:space="preserve">20%</t>
  </si>
  <si>
    <t xml:space="preserve">30%</t>
  </si>
  <si>
    <t xml:space="preserve">42%</t>
  </si>
  <si>
    <t xml:space="preserve">Gross Margin (FY2025E)</t>
  </si>
  <si>
    <t xml:space="preserve">70%</t>
  </si>
  <si>
    <t xml:space="preserve">73%</t>
  </si>
  <si>
    <t xml:space="preserve">76%</t>
  </si>
  <si>
    <t xml:space="preserve">EBITDA Margin (FY2025E)</t>
  </si>
  <si>
    <t xml:space="preserve">-5%</t>
  </si>
  <si>
    <t xml:space="preserve">5%</t>
  </si>
  <si>
    <t xml:space="preserve">14%</t>
  </si>
  <si>
    <t xml:space="preserve">FY2025E Revenue ($mm)</t>
  </si>
  <si>
    <t xml:space="preserve">$280</t>
  </si>
  <si>
    <t xml:space="preserve">$304</t>
  </si>
  <si>
    <t xml:space="preserve">$336</t>
  </si>
  <si>
    <t xml:space="preserve">FY2025E EBITDA ($mm)</t>
  </si>
  <si>
    <t xml:space="preserve">($14)</t>
  </si>
  <si>
    <t xml:space="preserve">$15</t>
  </si>
  <si>
    <t xml:space="preserve">$47</t>
  </si>
  <si>
    <t xml:space="preserve">Implied EV / Revenue</t>
  </si>
  <si>
    <t xml:space="preserve">4.0x</t>
  </si>
  <si>
    <t xml:space="preserve">6.0x</t>
  </si>
  <si>
    <t xml:space="preserve">9.0x</t>
  </si>
  <si>
    <t xml:space="preserve">$8.00</t>
  </si>
  <si>
    <t xml:space="preserve">$16.50</t>
  </si>
  <si>
    <t xml:space="preserve">$28.00</t>
  </si>
  <si>
    <t xml:space="preserve">Key Assumptions per Scenario:</t>
  </si>
  <si>
    <t xml:space="preserve">BEAR: Macro headwinds, elevated churn, elongated sales cycles, margin compression from competition.</t>
  </si>
  <si>
    <t xml:space="preserve">BASE: Steady ARR growth, gradual margin expansion, retention at ~115% NRR.</t>
  </si>
  <si>
    <t xml:space="preserve">BULL: Accelerated enterprise adoption, product-led growth, strong upsell driving NRR &gt;125%.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</si>
</sst>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"/>
    <numFmt numFmtId="168" formatCode="0.000"/>
    <numFmt numFmtId="169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D6DCE4"/>
        <bgColor rgb="FFDAE3F3"/>
      </patternFill>
    </fill>
    <fill>
      <patternFill patternType="solid">
        <fgColor rgb="FFDAE3F3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2F2F2"/>
      <rgbColor rgb="FFDAE3F3"/>
      <rgbColor rgb="FF660066"/>
      <rgbColor rgb="FFFF8080"/>
      <rgbColor rgb="FF2E75B6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8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5" t="s">
        <v>12</v>
      </c>
      <c r="B5" s="6" t="n">
        <v>120</v>
      </c>
      <c r="C5" s="6" t="n">
        <v>185</v>
      </c>
      <c r="D5" s="6" t="n">
        <v>268</v>
      </c>
      <c r="E5" s="7" t="s">
        <v>13</v>
      </c>
      <c r="F5" s="7" t="s">
        <v>13</v>
      </c>
      <c r="G5" s="7" t="s">
        <v>13</v>
      </c>
      <c r="H5" s="7" t="s">
        <v>13</v>
      </c>
      <c r="I5" s="7" t="s">
        <v>13</v>
      </c>
    </row>
    <row r="6" customFormat="false" ht="15" hidden="false" customHeight="false" outlineLevel="0" collapsed="false">
      <c r="A6" s="5" t="s">
        <v>14</v>
      </c>
      <c r="B6" s="6" t="n">
        <v>65</v>
      </c>
      <c r="C6" s="6" t="n">
        <v>83</v>
      </c>
      <c r="D6" s="6" t="n">
        <v>102</v>
      </c>
      <c r="E6" s="7" t="s">
        <v>13</v>
      </c>
      <c r="F6" s="7" t="s">
        <v>13</v>
      </c>
      <c r="G6" s="7" t="s">
        <v>13</v>
      </c>
      <c r="H6" s="7" t="s">
        <v>13</v>
      </c>
      <c r="I6" s="7" t="s">
        <v>13</v>
      </c>
    </row>
    <row r="7" customFormat="false" ht="15" hidden="false" customHeight="false" outlineLevel="0" collapsed="false">
      <c r="A7" s="5" t="s">
        <v>15</v>
      </c>
      <c r="B7" s="8" t="n">
        <v>0.18</v>
      </c>
      <c r="C7" s="8" t="n">
        <v>0.18</v>
      </c>
      <c r="D7" s="8" t="n">
        <v>0.18</v>
      </c>
      <c r="E7" s="9" t="n">
        <v>0.3</v>
      </c>
      <c r="F7" s="9" t="n">
        <v>0.27</v>
      </c>
      <c r="G7" s="9" t="n">
        <v>0.24</v>
      </c>
      <c r="H7" s="9" t="n">
        <v>0.21</v>
      </c>
      <c r="I7" s="9" t="n">
        <v>0.18</v>
      </c>
    </row>
    <row r="8" customFormat="false" ht="15" hidden="false" customHeight="false" outlineLevel="0" collapsed="false">
      <c r="A8" s="5" t="s">
        <v>16</v>
      </c>
      <c r="B8" s="6" t="n">
        <v>185</v>
      </c>
      <c r="C8" s="6" t="n">
        <v>268</v>
      </c>
      <c r="D8" s="6" t="n">
        <v>370</v>
      </c>
      <c r="E8" s="10" t="n">
        <f aca="false">D8*(1+E7)</f>
        <v>481</v>
      </c>
      <c r="F8" s="10" t="n">
        <f aca="false">E8*(1+F7)</f>
        <v>610.87</v>
      </c>
      <c r="G8" s="10" t="n">
        <f aca="false">F8*(1+G7)</f>
        <v>757.4788</v>
      </c>
      <c r="H8" s="10" t="n">
        <f aca="false">G8*(1+H7)</f>
        <v>916.549348</v>
      </c>
      <c r="I8" s="10" t="n">
        <f aca="false">H8*(1+I7)</f>
        <v>1081.52823064</v>
      </c>
    </row>
    <row r="9" customFormat="false" ht="15" hidden="false" customHeight="false" outlineLevel="0" collapsed="false">
      <c r="A9" s="5" t="s">
        <v>17</v>
      </c>
      <c r="B9" s="8" t="n">
        <v>0.88</v>
      </c>
      <c r="C9" s="8" t="n">
        <v>0.89</v>
      </c>
      <c r="D9" s="8" t="n">
        <v>0.9</v>
      </c>
      <c r="E9" s="8" t="n">
        <v>0.9</v>
      </c>
      <c r="F9" s="8" t="n">
        <v>0.9</v>
      </c>
      <c r="G9" s="8" t="n">
        <v>0.91</v>
      </c>
      <c r="H9" s="8" t="n">
        <v>0.91</v>
      </c>
      <c r="I9" s="8" t="n">
        <v>0.91</v>
      </c>
    </row>
    <row r="10" customFormat="false" ht="15" hidden="false" customHeight="false" outlineLevel="0" collapsed="false">
      <c r="A10" s="5" t="s">
        <v>18</v>
      </c>
      <c r="B10" s="6" t="n">
        <v>106</v>
      </c>
      <c r="C10" s="6" t="n">
        <v>160</v>
      </c>
      <c r="D10" s="6" t="n">
        <v>234</v>
      </c>
      <c r="E10" s="10" t="n">
        <f aca="false">E8*E9</f>
        <v>432.9</v>
      </c>
      <c r="F10" s="10" t="n">
        <f aca="false">F8*F9</f>
        <v>549.783</v>
      </c>
      <c r="G10" s="10" t="n">
        <f aca="false">G8*G9</f>
        <v>689.305708</v>
      </c>
      <c r="H10" s="10" t="n">
        <f aca="false">H8*H9</f>
        <v>834.05990668</v>
      </c>
      <c r="I10" s="10" t="n">
        <f aca="false">I8*I9</f>
        <v>984.1906898824</v>
      </c>
    </row>
    <row r="11" customFormat="false" ht="18" hidden="false" customHeight="true" outlineLevel="0" collapsed="false">
      <c r="A11" s="4" t="s">
        <v>19</v>
      </c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5" t="s">
        <v>20</v>
      </c>
      <c r="B12" s="8" t="n">
        <v>0.68</v>
      </c>
      <c r="C12" s="8" t="n">
        <v>0.7</v>
      </c>
      <c r="D12" s="8" t="n">
        <v>0.72</v>
      </c>
      <c r="E12" s="8" t="n">
        <v>0.73</v>
      </c>
      <c r="F12" s="8" t="n">
        <v>0.74</v>
      </c>
      <c r="G12" s="8" t="n">
        <v>0.75</v>
      </c>
      <c r="H12" s="8" t="n">
        <v>0.76</v>
      </c>
      <c r="I12" s="8" t="n">
        <v>0.77</v>
      </c>
    </row>
    <row r="13" customFormat="false" ht="15" hidden="false" customHeight="false" outlineLevel="0" collapsed="false">
      <c r="A13" s="5" t="s">
        <v>21</v>
      </c>
      <c r="B13" s="8" t="n">
        <v>0.42</v>
      </c>
      <c r="C13" s="8" t="n">
        <v>0.38</v>
      </c>
      <c r="D13" s="8" t="n">
        <v>0.35</v>
      </c>
      <c r="E13" s="8" t="n">
        <v>0.33</v>
      </c>
      <c r="F13" s="8" t="n">
        <v>0.31</v>
      </c>
      <c r="G13" s="8" t="n">
        <v>0.29</v>
      </c>
      <c r="H13" s="8" t="n">
        <v>0.27</v>
      </c>
      <c r="I13" s="8" t="n">
        <v>0.25</v>
      </c>
    </row>
    <row r="14" customFormat="false" ht="15" hidden="false" customHeight="false" outlineLevel="0" collapsed="false">
      <c r="A14" s="5" t="s">
        <v>22</v>
      </c>
      <c r="B14" s="8" t="n">
        <v>0.18</v>
      </c>
      <c r="C14" s="8" t="n">
        <v>0.17</v>
      </c>
      <c r="D14" s="8" t="n">
        <v>0.16</v>
      </c>
      <c r="E14" s="8" t="n">
        <v>0.15</v>
      </c>
      <c r="F14" s="8" t="n">
        <v>0.15</v>
      </c>
      <c r="G14" s="8" t="n">
        <v>0.14</v>
      </c>
      <c r="H14" s="8" t="n">
        <v>0.14</v>
      </c>
      <c r="I14" s="8" t="n">
        <v>0.13</v>
      </c>
    </row>
    <row r="15" customFormat="false" ht="15" hidden="false" customHeight="false" outlineLevel="0" collapsed="false">
      <c r="A15" s="5" t="s">
        <v>23</v>
      </c>
      <c r="B15" s="8" t="n">
        <v>0.12</v>
      </c>
      <c r="C15" s="8" t="n">
        <v>0.11</v>
      </c>
      <c r="D15" s="8" t="n">
        <v>0.1</v>
      </c>
      <c r="E15" s="8" t="n">
        <v>0.09</v>
      </c>
      <c r="F15" s="8" t="n">
        <v>0.09</v>
      </c>
      <c r="G15" s="8" t="n">
        <v>0.08</v>
      </c>
      <c r="H15" s="8" t="n">
        <v>0.08</v>
      </c>
      <c r="I15" s="8" t="n">
        <v>0.08</v>
      </c>
    </row>
    <row r="16" customFormat="false" ht="15" hidden="false" customHeight="false" outlineLevel="0" collapsed="false">
      <c r="A16" s="5" t="s">
        <v>24</v>
      </c>
      <c r="B16" s="8" t="n">
        <v>0.03</v>
      </c>
      <c r="C16" s="8" t="n">
        <v>0.03</v>
      </c>
      <c r="D16" s="8" t="n">
        <v>0.03</v>
      </c>
      <c r="E16" s="8" t="n">
        <v>0.03</v>
      </c>
      <c r="F16" s="8" t="n">
        <v>0.03</v>
      </c>
      <c r="G16" s="8" t="n">
        <v>0.03</v>
      </c>
      <c r="H16" s="8" t="n">
        <v>0.03</v>
      </c>
      <c r="I16" s="8" t="n">
        <v>0.03</v>
      </c>
    </row>
    <row r="17" customFormat="false" ht="15" hidden="false" customHeight="false" outlineLevel="0" collapsed="false">
      <c r="A17" s="5" t="s">
        <v>25</v>
      </c>
      <c r="B17" s="8" t="n">
        <v>0.21</v>
      </c>
      <c r="C17" s="8" t="n">
        <v>0.21</v>
      </c>
      <c r="D17" s="8" t="n">
        <v>0.21</v>
      </c>
      <c r="E17" s="8" t="n">
        <v>0.21</v>
      </c>
      <c r="F17" s="8" t="n">
        <v>0.21</v>
      </c>
      <c r="G17" s="8" t="n">
        <v>0.21</v>
      </c>
      <c r="H17" s="8" t="n">
        <v>0.21</v>
      </c>
      <c r="I17" s="8" t="n">
        <v>0.21</v>
      </c>
    </row>
    <row r="18" customFormat="false" ht="18" hidden="false" customHeight="true" outlineLevel="0" collapsed="false">
      <c r="A18" s="4" t="s">
        <v>26</v>
      </c>
      <c r="B18" s="4"/>
      <c r="C18" s="4"/>
      <c r="D18" s="4"/>
      <c r="E18" s="4"/>
      <c r="F18" s="4"/>
      <c r="G18" s="4"/>
      <c r="H18" s="4"/>
      <c r="I18" s="4"/>
    </row>
    <row r="19" customFormat="false" ht="15" hidden="false" customHeight="false" outlineLevel="0" collapsed="false">
      <c r="A19" s="5" t="s">
        <v>27</v>
      </c>
      <c r="B19" s="6" t="n">
        <v>55</v>
      </c>
      <c r="C19" s="6" t="n">
        <v>52</v>
      </c>
      <c r="D19" s="6" t="n">
        <v>50</v>
      </c>
      <c r="E19" s="6" t="n">
        <v>48</v>
      </c>
      <c r="F19" s="6" t="n">
        <v>46</v>
      </c>
      <c r="G19" s="6" t="n">
        <v>44</v>
      </c>
      <c r="H19" s="6" t="n">
        <v>42</v>
      </c>
      <c r="I19" s="6" t="n">
        <v>40</v>
      </c>
    </row>
    <row r="20" customFormat="false" ht="15" hidden="false" customHeight="false" outlineLevel="0" collapsed="false">
      <c r="A20" s="5" t="s">
        <v>28</v>
      </c>
      <c r="B20" s="6" t="n">
        <v>30</v>
      </c>
      <c r="C20" s="6" t="n">
        <v>30</v>
      </c>
      <c r="D20" s="6" t="n">
        <v>32</v>
      </c>
      <c r="E20" s="6" t="n">
        <v>32</v>
      </c>
      <c r="F20" s="6" t="n">
        <v>33</v>
      </c>
      <c r="G20" s="6" t="n">
        <v>33</v>
      </c>
      <c r="H20" s="6" t="n">
        <v>34</v>
      </c>
      <c r="I20" s="6" t="n">
        <v>34</v>
      </c>
    </row>
    <row r="21" customFormat="false" ht="15" hidden="false" customHeight="false" outlineLevel="0" collapsed="false">
      <c r="A21" s="5" t="s">
        <v>29</v>
      </c>
      <c r="B21" s="6" t="n">
        <v>90</v>
      </c>
      <c r="C21" s="6" t="n">
        <v>90</v>
      </c>
      <c r="D21" s="6" t="n">
        <v>92</v>
      </c>
      <c r="E21" s="6" t="n">
        <v>92</v>
      </c>
      <c r="F21" s="6" t="n">
        <v>93</v>
      </c>
      <c r="G21" s="6" t="n">
        <v>93</v>
      </c>
      <c r="H21" s="6" t="n">
        <v>94</v>
      </c>
      <c r="I21" s="6" t="n">
        <v>94</v>
      </c>
    </row>
    <row r="22" customFormat="false" ht="15" hidden="false" customHeight="false" outlineLevel="0" collapsed="false">
      <c r="A22" s="5" t="s">
        <v>30</v>
      </c>
      <c r="B22" s="8" t="n">
        <v>0.04</v>
      </c>
      <c r="C22" s="8" t="n">
        <v>0.04</v>
      </c>
      <c r="D22" s="8" t="n">
        <v>0.03</v>
      </c>
      <c r="E22" s="8" t="n">
        <v>0.03</v>
      </c>
      <c r="F22" s="8" t="n">
        <v>0.03</v>
      </c>
      <c r="G22" s="8" t="n">
        <v>0.03</v>
      </c>
      <c r="H22" s="8" t="n">
        <v>0.02</v>
      </c>
      <c r="I22" s="8" t="n">
        <v>0.02</v>
      </c>
    </row>
    <row r="23" customFormat="false" ht="18" hidden="false" customHeight="true" outlineLevel="0" collapsed="false">
      <c r="A23" s="4" t="s">
        <v>31</v>
      </c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A24" s="11" t="s">
        <v>32</v>
      </c>
      <c r="B24" s="8" t="n">
        <v>0.1</v>
      </c>
      <c r="C24" s="12" t="s">
        <v>33</v>
      </c>
      <c r="D24" s="12"/>
      <c r="E24" s="12"/>
      <c r="F24" s="12"/>
      <c r="G24" s="12"/>
      <c r="H24" s="12"/>
      <c r="I24" s="12"/>
    </row>
    <row r="25" customFormat="false" ht="15" hidden="false" customHeight="false" outlineLevel="0" collapsed="false">
      <c r="A25" s="11" t="s">
        <v>34</v>
      </c>
      <c r="B25" s="8" t="n">
        <v>0.03</v>
      </c>
      <c r="C25" s="12" t="s">
        <v>35</v>
      </c>
      <c r="D25" s="12"/>
      <c r="E25" s="12"/>
      <c r="F25" s="12"/>
      <c r="G25" s="12"/>
      <c r="H25" s="12"/>
      <c r="I25" s="12"/>
    </row>
    <row r="26" customFormat="false" ht="15" hidden="false" customHeight="false" outlineLevel="0" collapsed="false">
      <c r="A26" s="11" t="s">
        <v>36</v>
      </c>
      <c r="B26" s="6" t="n">
        <v>-85</v>
      </c>
      <c r="C26" s="12" t="s">
        <v>37</v>
      </c>
      <c r="D26" s="12"/>
      <c r="E26" s="12"/>
      <c r="F26" s="12"/>
      <c r="G26" s="12"/>
      <c r="H26" s="12"/>
      <c r="I26" s="12"/>
    </row>
    <row r="27" customFormat="false" ht="15" hidden="false" customHeight="false" outlineLevel="0" collapsed="false">
      <c r="A27" s="11" t="s">
        <v>38</v>
      </c>
      <c r="B27" s="6" t="n">
        <v>125</v>
      </c>
    </row>
  </sheetData>
  <mergeCells count="8">
    <mergeCell ref="A1:I1"/>
    <mergeCell ref="A4:I4"/>
    <mergeCell ref="A11:I11"/>
    <mergeCell ref="A18:I18"/>
    <mergeCell ref="A23:I23"/>
    <mergeCell ref="C24:I24"/>
    <mergeCell ref="C25:I25"/>
    <mergeCell ref="C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3"/>
  </cols>
  <sheetData>
    <row r="1" customFormat="false" ht="21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40</v>
      </c>
    </row>
    <row r="3" customFormat="false" ht="30" hidden="false" customHeight="true" outlineLevel="0" collapsed="false">
      <c r="A3" s="3"/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8" hidden="false" customHeight="true" outlineLevel="0" collapsed="false">
      <c r="A4" s="4" t="s">
        <v>41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5" t="s">
        <v>42</v>
      </c>
      <c r="B5" s="6" t="n">
        <v>95</v>
      </c>
      <c r="C5" s="6" t="n">
        <v>144</v>
      </c>
      <c r="D5" s="6" t="n">
        <v>211</v>
      </c>
      <c r="E5" s="10" t="n">
        <f aca="false">Assumptions!E10*0.92</f>
        <v>398.268</v>
      </c>
      <c r="F5" s="10" t="n">
        <f aca="false">Assumptions!F10*0.92</f>
        <v>505.80036</v>
      </c>
      <c r="G5" s="10" t="n">
        <f aca="false">Assumptions!G10*0.92</f>
        <v>634.16125136</v>
      </c>
      <c r="H5" s="10" t="n">
        <f aca="false">Assumptions!H10*0.92</f>
        <v>767.3351141456</v>
      </c>
      <c r="I5" s="10" t="n">
        <f aca="false">Assumptions!I10*0.92</f>
        <v>905.455434691808</v>
      </c>
    </row>
    <row r="6" customFormat="false" ht="15" hidden="false" customHeight="false" outlineLevel="0" collapsed="false">
      <c r="A6" s="5" t="s">
        <v>43</v>
      </c>
      <c r="B6" s="6" t="n">
        <v>11</v>
      </c>
      <c r="C6" s="6" t="n">
        <v>16</v>
      </c>
      <c r="D6" s="6" t="n">
        <v>23</v>
      </c>
      <c r="E6" s="10" t="n">
        <f aca="false">Assumptions!E10*0.08</f>
        <v>34.632</v>
      </c>
      <c r="F6" s="10" t="n">
        <f aca="false">Assumptions!F10*0.08</f>
        <v>43.98264</v>
      </c>
      <c r="G6" s="10" t="n">
        <f aca="false">Assumptions!G10*0.08</f>
        <v>55.14445664</v>
      </c>
      <c r="H6" s="10" t="n">
        <f aca="false">Assumptions!H10*0.08</f>
        <v>66.7247925344</v>
      </c>
      <c r="I6" s="10" t="n">
        <f aca="false">Assumptions!I10*0.08</f>
        <v>78.735255190592</v>
      </c>
    </row>
    <row r="7" customFormat="false" ht="15" hidden="false" customHeight="false" outlineLevel="0" collapsed="false">
      <c r="A7" s="13" t="s">
        <v>44</v>
      </c>
      <c r="B7" s="14" t="n">
        <f aca="false">SUM(B5:B6)</f>
        <v>106</v>
      </c>
      <c r="C7" s="14" t="n">
        <f aca="false">SUM(C5:C6)</f>
        <v>160</v>
      </c>
      <c r="D7" s="14" t="n">
        <f aca="false">SUM(D5:D6)</f>
        <v>234</v>
      </c>
      <c r="E7" s="14" t="n">
        <f aca="false">SUM(E5:E6)</f>
        <v>432.9</v>
      </c>
      <c r="F7" s="14" t="n">
        <f aca="false">SUM(F5:F6)</f>
        <v>549.783</v>
      </c>
      <c r="G7" s="14" t="n">
        <f aca="false">SUM(G5:G6)</f>
        <v>689.305708</v>
      </c>
      <c r="H7" s="14" t="n">
        <f aca="false">SUM(H5:H6)</f>
        <v>834.05990668</v>
      </c>
      <c r="I7" s="14" t="n">
        <f aca="false">SUM(I5:I6)</f>
        <v>984.1906898824</v>
      </c>
    </row>
    <row r="8" customFormat="false" ht="18" hidden="false" customHeight="true" outlineLevel="0" collapsed="false">
      <c r="A8" s="4" t="s">
        <v>45</v>
      </c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5" t="s">
        <v>45</v>
      </c>
      <c r="B9" s="10" t="n">
        <f aca="false">B7*(1-Assumptions!B12)</f>
        <v>33.92</v>
      </c>
      <c r="C9" s="10" t="n">
        <f aca="false">C7*(1-Assumptions!C12)</f>
        <v>48</v>
      </c>
      <c r="D9" s="10" t="n">
        <f aca="false">D7*(1-Assumptions!D12)</f>
        <v>65.52</v>
      </c>
      <c r="E9" s="10" t="n">
        <f aca="false">E7*(1-Assumptions!E12)</f>
        <v>116.883</v>
      </c>
      <c r="F9" s="10" t="n">
        <f aca="false">F7*(1-Assumptions!F12)</f>
        <v>142.94358</v>
      </c>
      <c r="G9" s="10" t="n">
        <f aca="false">G7*(1-Assumptions!G12)</f>
        <v>172.326427</v>
      </c>
      <c r="H9" s="10" t="n">
        <f aca="false">H7*(1-Assumptions!H12)</f>
        <v>200.1743776032</v>
      </c>
      <c r="I9" s="10" t="n">
        <f aca="false">I7*(1-Assumptions!I12)</f>
        <v>226.363858672952</v>
      </c>
    </row>
    <row r="10" customFormat="false" ht="15" hidden="false" customHeight="false" outlineLevel="0" collapsed="false">
      <c r="A10" s="13" t="s">
        <v>46</v>
      </c>
      <c r="B10" s="14" t="n">
        <f aca="false">B7-B9</f>
        <v>72.08</v>
      </c>
      <c r="C10" s="14" t="n">
        <f aca="false">C7-C9</f>
        <v>112</v>
      </c>
      <c r="D10" s="14" t="n">
        <f aca="false">D7-D9</f>
        <v>168.48</v>
      </c>
      <c r="E10" s="14" t="n">
        <f aca="false">E7-E9</f>
        <v>316.017</v>
      </c>
      <c r="F10" s="14" t="n">
        <f aca="false">F7-F9</f>
        <v>406.83942</v>
      </c>
      <c r="G10" s="14" t="n">
        <f aca="false">G7-G9</f>
        <v>516.979281</v>
      </c>
      <c r="H10" s="14" t="n">
        <f aca="false">H7-H9</f>
        <v>633.8855290768</v>
      </c>
      <c r="I10" s="14" t="n">
        <f aca="false">I7-I9</f>
        <v>757.826831209448</v>
      </c>
    </row>
    <row r="11" customFormat="false" ht="15" hidden="false" customHeight="false" outlineLevel="0" collapsed="false">
      <c r="A11" s="5" t="s">
        <v>47</v>
      </c>
      <c r="B11" s="9" t="n">
        <f aca="false">B10/B7</f>
        <v>0.68</v>
      </c>
      <c r="C11" s="9" t="n">
        <f aca="false">C10/C7</f>
        <v>0.7</v>
      </c>
      <c r="D11" s="9" t="n">
        <f aca="false">D10/D7</f>
        <v>0.72</v>
      </c>
      <c r="E11" s="9" t="n">
        <f aca="false">E10/E7</f>
        <v>0.73</v>
      </c>
      <c r="F11" s="9" t="n">
        <f aca="false">F10/F7</f>
        <v>0.74</v>
      </c>
      <c r="G11" s="9" t="n">
        <f aca="false">G10/G7</f>
        <v>0.75</v>
      </c>
      <c r="H11" s="9" t="n">
        <f aca="false">H10/H7</f>
        <v>0.76</v>
      </c>
      <c r="I11" s="9" t="n">
        <f aca="false">I10/I7</f>
        <v>0.77</v>
      </c>
    </row>
    <row r="12" customFormat="false" ht="18" hidden="false" customHeight="true" outlineLevel="0" collapsed="false">
      <c r="A12" s="4" t="s">
        <v>48</v>
      </c>
      <c r="B12" s="4"/>
      <c r="C12" s="4"/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A13" s="5" t="s">
        <v>49</v>
      </c>
      <c r="B13" s="10" t="n">
        <f aca="false">B7*Assumptions!B13</f>
        <v>44.52</v>
      </c>
      <c r="C13" s="10" t="n">
        <f aca="false">C7*Assumptions!C13</f>
        <v>60.8</v>
      </c>
      <c r="D13" s="10" t="n">
        <f aca="false">D7*Assumptions!D13</f>
        <v>81.9</v>
      </c>
      <c r="E13" s="10" t="n">
        <f aca="false">E7*Assumptions!E13</f>
        <v>142.857</v>
      </c>
      <c r="F13" s="10" t="n">
        <f aca="false">F7*Assumptions!F13</f>
        <v>170.43273</v>
      </c>
      <c r="G13" s="10" t="n">
        <f aca="false">G7*Assumptions!G13</f>
        <v>199.89865532</v>
      </c>
      <c r="H13" s="10" t="n">
        <f aca="false">H7*Assumptions!H13</f>
        <v>225.1961748036</v>
      </c>
      <c r="I13" s="10" t="n">
        <f aca="false">I7*Assumptions!I13</f>
        <v>246.0476724706</v>
      </c>
    </row>
    <row r="14" customFormat="false" ht="15" hidden="false" customHeight="false" outlineLevel="0" collapsed="false">
      <c r="A14" s="5" t="s">
        <v>50</v>
      </c>
      <c r="B14" s="10" t="n">
        <f aca="false">B7*Assumptions!B14</f>
        <v>19.08</v>
      </c>
      <c r="C14" s="10" t="n">
        <f aca="false">C7*Assumptions!C14</f>
        <v>27.2</v>
      </c>
      <c r="D14" s="10" t="n">
        <f aca="false">D7*Assumptions!D14</f>
        <v>37.44</v>
      </c>
      <c r="E14" s="10" t="n">
        <f aca="false">E7*Assumptions!E14</f>
        <v>64.935</v>
      </c>
      <c r="F14" s="10" t="n">
        <f aca="false">F7*Assumptions!F14</f>
        <v>82.46745</v>
      </c>
      <c r="G14" s="10" t="n">
        <f aca="false">G7*Assumptions!G14</f>
        <v>96.50279912</v>
      </c>
      <c r="H14" s="10" t="n">
        <f aca="false">H7*Assumptions!H14</f>
        <v>116.7683869352</v>
      </c>
      <c r="I14" s="10" t="n">
        <f aca="false">I7*Assumptions!I14</f>
        <v>127.944789684712</v>
      </c>
    </row>
    <row r="15" customFormat="false" ht="15" hidden="false" customHeight="false" outlineLevel="0" collapsed="false">
      <c r="A15" s="5" t="s">
        <v>51</v>
      </c>
      <c r="B15" s="10" t="n">
        <f aca="false">B7*Assumptions!B15</f>
        <v>12.72</v>
      </c>
      <c r="C15" s="10" t="n">
        <f aca="false">C7*Assumptions!C15</f>
        <v>17.6</v>
      </c>
      <c r="D15" s="10" t="n">
        <f aca="false">D7*Assumptions!D15</f>
        <v>23.4</v>
      </c>
      <c r="E15" s="10" t="n">
        <f aca="false">E7*Assumptions!E15</f>
        <v>38.961</v>
      </c>
      <c r="F15" s="10" t="n">
        <f aca="false">F7*Assumptions!F15</f>
        <v>49.48047</v>
      </c>
      <c r="G15" s="10" t="n">
        <f aca="false">G7*Assumptions!G15</f>
        <v>55.14445664</v>
      </c>
      <c r="H15" s="10" t="n">
        <f aca="false">H7*Assumptions!H15</f>
        <v>66.7247925344</v>
      </c>
      <c r="I15" s="10" t="n">
        <f aca="false">I7*Assumptions!I15</f>
        <v>78.735255190592</v>
      </c>
    </row>
    <row r="16" customFormat="false" ht="15" hidden="false" customHeight="false" outlineLevel="0" collapsed="false">
      <c r="A16" s="5" t="s">
        <v>52</v>
      </c>
      <c r="B16" s="10" t="n">
        <f aca="false">B7*Assumptions!B16</f>
        <v>3.18</v>
      </c>
      <c r="C16" s="10" t="n">
        <f aca="false">C7*Assumptions!C16</f>
        <v>4.8</v>
      </c>
      <c r="D16" s="10" t="n">
        <f aca="false">D7*Assumptions!D16</f>
        <v>7.02</v>
      </c>
      <c r="E16" s="10" t="n">
        <f aca="false">E7*Assumptions!E16</f>
        <v>12.987</v>
      </c>
      <c r="F16" s="10" t="n">
        <f aca="false">F7*Assumptions!F16</f>
        <v>16.49349</v>
      </c>
      <c r="G16" s="10" t="n">
        <f aca="false">G7*Assumptions!G16</f>
        <v>20.67917124</v>
      </c>
      <c r="H16" s="10" t="n">
        <f aca="false">H7*Assumptions!H16</f>
        <v>25.0217972004</v>
      </c>
      <c r="I16" s="10" t="n">
        <f aca="false">I7*Assumptions!I16</f>
        <v>29.525720696472</v>
      </c>
    </row>
    <row r="17" customFormat="false" ht="15" hidden="false" customHeight="false" outlineLevel="0" collapsed="false">
      <c r="A17" s="13" t="s">
        <v>53</v>
      </c>
      <c r="B17" s="14" t="n">
        <f aca="false">SUM(B13:B16)</f>
        <v>79.5</v>
      </c>
      <c r="C17" s="14" t="n">
        <f aca="false">SUM(C13:C16)</f>
        <v>110.4</v>
      </c>
      <c r="D17" s="14" t="n">
        <f aca="false">SUM(D13:D16)</f>
        <v>149.76</v>
      </c>
      <c r="E17" s="14" t="n">
        <f aca="false">SUM(E13:E16)</f>
        <v>259.74</v>
      </c>
      <c r="F17" s="14" t="n">
        <f aca="false">SUM(F13:F16)</f>
        <v>318.87414</v>
      </c>
      <c r="G17" s="14" t="n">
        <f aca="false">SUM(G13:G16)</f>
        <v>372.22508232</v>
      </c>
      <c r="H17" s="14" t="n">
        <f aca="false">SUM(H13:H16)</f>
        <v>433.7111514736</v>
      </c>
      <c r="I17" s="14" t="n">
        <f aca="false">SUM(I13:I16)</f>
        <v>482.253438042376</v>
      </c>
    </row>
    <row r="18" customFormat="false" ht="15" hidden="false" customHeight="false" outlineLevel="0" collapsed="false">
      <c r="A18" s="13" t="s">
        <v>54</v>
      </c>
      <c r="B18" s="14" t="n">
        <f aca="false">B10-B17</f>
        <v>-7.41999999999999</v>
      </c>
      <c r="C18" s="14" t="n">
        <f aca="false">C10-C17</f>
        <v>1.60000000000001</v>
      </c>
      <c r="D18" s="14" t="n">
        <f aca="false">D10-D17</f>
        <v>18.72</v>
      </c>
      <c r="E18" s="14" t="n">
        <f aca="false">E10-E17</f>
        <v>56.2769999999999</v>
      </c>
      <c r="F18" s="14" t="n">
        <f aca="false">F10-F17</f>
        <v>87.96528</v>
      </c>
      <c r="G18" s="14" t="n">
        <f aca="false">G10-G17</f>
        <v>144.75419868</v>
      </c>
      <c r="H18" s="14" t="n">
        <f aca="false">H10-H17</f>
        <v>200.1743776032</v>
      </c>
      <c r="I18" s="14" t="n">
        <f aca="false">I10-I17</f>
        <v>275.573393167072</v>
      </c>
    </row>
    <row r="19" customFormat="false" ht="15" hidden="false" customHeight="false" outlineLevel="0" collapsed="false">
      <c r="A19" s="5" t="s">
        <v>55</v>
      </c>
      <c r="B19" s="9" t="n">
        <f aca="false">IFERROR(B18/B7,0)</f>
        <v>-0.0699999999999999</v>
      </c>
      <c r="C19" s="9" t="n">
        <f aca="false">IFERROR(C18/C7,0)</f>
        <v>0.0100000000000001</v>
      </c>
      <c r="D19" s="9" t="n">
        <f aca="false">IFERROR(D18/D7,0)</f>
        <v>0.08</v>
      </c>
      <c r="E19" s="9" t="n">
        <f aca="false">IFERROR(E18/E7,0)</f>
        <v>0.13</v>
      </c>
      <c r="F19" s="9" t="n">
        <f aca="false">IFERROR(F18/F7,0)</f>
        <v>0.16</v>
      </c>
      <c r="G19" s="9" t="n">
        <f aca="false">IFERROR(G18/G7,0)</f>
        <v>0.21</v>
      </c>
      <c r="H19" s="9" t="n">
        <f aca="false">IFERROR(H18/H7,0)</f>
        <v>0.24</v>
      </c>
      <c r="I19" s="9" t="n">
        <f aca="false">IFERROR(I18/I7,0)</f>
        <v>0.28</v>
      </c>
    </row>
    <row r="20" customFormat="false" ht="18" hidden="false" customHeight="true" outlineLevel="0" collapsed="false">
      <c r="A20" s="4" t="s">
        <v>56</v>
      </c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A21" s="5" t="s">
        <v>57</v>
      </c>
      <c r="B21" s="6" t="n">
        <v>2</v>
      </c>
      <c r="C21" s="6" t="n">
        <v>2</v>
      </c>
      <c r="D21" s="6" t="n">
        <v>2</v>
      </c>
      <c r="E21" s="6" t="n">
        <v>3</v>
      </c>
      <c r="F21" s="6" t="n">
        <v>3</v>
      </c>
      <c r="G21" s="6" t="n">
        <v>3</v>
      </c>
      <c r="H21" s="6" t="n">
        <v>3</v>
      </c>
      <c r="I21" s="6" t="n">
        <v>3</v>
      </c>
    </row>
    <row r="22" customFormat="false" ht="15" hidden="false" customHeight="false" outlineLevel="0" collapsed="false">
      <c r="A22" s="13" t="s">
        <v>58</v>
      </c>
      <c r="B22" s="14" t="n">
        <f aca="false">B18+B21</f>
        <v>-5.41999999999999</v>
      </c>
      <c r="C22" s="14" t="n">
        <f aca="false">C18+C21</f>
        <v>3.60000000000001</v>
      </c>
      <c r="D22" s="14" t="n">
        <f aca="false">D18+D21</f>
        <v>20.72</v>
      </c>
      <c r="E22" s="14" t="n">
        <f aca="false">E18+E21</f>
        <v>59.2769999999999</v>
      </c>
      <c r="F22" s="14" t="n">
        <f aca="false">F18+F21</f>
        <v>90.96528</v>
      </c>
      <c r="G22" s="14" t="n">
        <f aca="false">G18+G21</f>
        <v>147.75419868</v>
      </c>
      <c r="H22" s="14" t="n">
        <f aca="false">H18+H21</f>
        <v>203.1743776032</v>
      </c>
      <c r="I22" s="14" t="n">
        <f aca="false">I18+I21</f>
        <v>278.573393167072</v>
      </c>
    </row>
    <row r="23" customFormat="false" ht="15" hidden="false" customHeight="false" outlineLevel="0" collapsed="false">
      <c r="A23" s="5" t="s">
        <v>59</v>
      </c>
      <c r="B23" s="10" t="n">
        <f aca="false">MAX(0,B22*Assumptions!B17)</f>
        <v>0</v>
      </c>
      <c r="C23" s="10" t="n">
        <f aca="false">MAX(0,C22*Assumptions!B17)</f>
        <v>0.756000000000002</v>
      </c>
      <c r="D23" s="10" t="n">
        <f aca="false">MAX(0,D22*Assumptions!B17)</f>
        <v>4.3512</v>
      </c>
      <c r="E23" s="10" t="n">
        <f aca="false">MAX(0,E22*Assumptions!B17)</f>
        <v>12.44817</v>
      </c>
      <c r="F23" s="10" t="n">
        <f aca="false">MAX(0,F22*Assumptions!B17)</f>
        <v>19.1027088</v>
      </c>
      <c r="G23" s="10" t="n">
        <f aca="false">MAX(0,G22*Assumptions!B17)</f>
        <v>31.0283817228</v>
      </c>
      <c r="H23" s="10" t="n">
        <f aca="false">MAX(0,H22*Assumptions!B17)</f>
        <v>42.666619296672</v>
      </c>
      <c r="I23" s="10" t="n">
        <f aca="false">MAX(0,I22*Assumptions!B17)</f>
        <v>58.5004125650851</v>
      </c>
    </row>
    <row r="24" customFormat="false" ht="15" hidden="false" customHeight="false" outlineLevel="0" collapsed="false">
      <c r="A24" s="13" t="s">
        <v>60</v>
      </c>
      <c r="B24" s="14" t="n">
        <f aca="false">B22-B23</f>
        <v>-5.41999999999999</v>
      </c>
      <c r="C24" s="14" t="n">
        <f aca="false">C22-C23</f>
        <v>2.84400000000001</v>
      </c>
      <c r="D24" s="14" t="n">
        <f aca="false">D22-D23</f>
        <v>16.3688</v>
      </c>
      <c r="E24" s="14" t="n">
        <f aca="false">E22-E23</f>
        <v>46.82883</v>
      </c>
      <c r="F24" s="14" t="n">
        <f aca="false">F22-F23</f>
        <v>71.8625712</v>
      </c>
      <c r="G24" s="14" t="n">
        <f aca="false">G22-G23</f>
        <v>116.7258169572</v>
      </c>
      <c r="H24" s="14" t="n">
        <f aca="false">H22-H23</f>
        <v>160.507758306528</v>
      </c>
      <c r="I24" s="14" t="n">
        <f aca="false">I22-I23</f>
        <v>220.072980601987</v>
      </c>
    </row>
    <row r="25" customFormat="false" ht="15" hidden="false" customHeight="false" outlineLevel="0" collapsed="false">
      <c r="A25" s="5" t="s">
        <v>61</v>
      </c>
      <c r="B25" s="9" t="n">
        <f aca="false">IFERROR(B24/B7,0)</f>
        <v>-0.051132075471698</v>
      </c>
      <c r="C25" s="9" t="n">
        <f aca="false">IFERROR(C24/C7,0)</f>
        <v>0.017775</v>
      </c>
      <c r="D25" s="9" t="n">
        <f aca="false">IFERROR(D24/D7,0)</f>
        <v>0.0699521367521368</v>
      </c>
      <c r="E25" s="9" t="n">
        <f aca="false">IFERROR(E24/E7,0)</f>
        <v>0.108174705474705</v>
      </c>
      <c r="F25" s="9" t="n">
        <f aca="false">IFERROR(F24/F7,0)</f>
        <v>0.130710791712367</v>
      </c>
      <c r="G25" s="9" t="n">
        <f aca="false">IFERROR(G24/G7,0)</f>
        <v>0.169338242237797</v>
      </c>
      <c r="H25" s="9" t="n">
        <f aca="false">IFERROR(H24/H7,0)</f>
        <v>0.192441522510576</v>
      </c>
      <c r="I25" s="9" t="n">
        <f aca="false">IFERROR(I24/I7,0)</f>
        <v>0.223608069924217</v>
      </c>
    </row>
    <row r="26" customFormat="false" ht="18" hidden="false" customHeight="true" outlineLevel="0" collapsed="false">
      <c r="A26" s="4" t="s">
        <v>62</v>
      </c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13" t="s">
        <v>63</v>
      </c>
      <c r="B27" s="15" t="n">
        <f aca="false">B18+B16</f>
        <v>-4.23999999999999</v>
      </c>
      <c r="C27" s="15" t="n">
        <f aca="false">C18+C16</f>
        <v>6.40000000000001</v>
      </c>
      <c r="D27" s="15" t="n">
        <f aca="false">D18+D16</f>
        <v>25.74</v>
      </c>
      <c r="E27" s="15" t="n">
        <f aca="false">E18+E16</f>
        <v>69.2639999999999</v>
      </c>
      <c r="F27" s="15" t="n">
        <f aca="false">F18+F16</f>
        <v>104.45877</v>
      </c>
      <c r="G27" s="15" t="n">
        <f aca="false">G18+G16</f>
        <v>165.43336992</v>
      </c>
      <c r="H27" s="15" t="n">
        <f aca="false">H18+H16</f>
        <v>225.1961748036</v>
      </c>
      <c r="I27" s="15" t="n">
        <f aca="false">I18+I16</f>
        <v>305.099113863544</v>
      </c>
    </row>
    <row r="28" customFormat="false" ht="15" hidden="false" customHeight="false" outlineLevel="0" collapsed="false">
      <c r="A28" s="5" t="s">
        <v>64</v>
      </c>
      <c r="B28" s="9" t="n">
        <f aca="false">IFERROR(B27/B7,0)</f>
        <v>-0.0399999999999999</v>
      </c>
      <c r="C28" s="9" t="n">
        <f aca="false">IFERROR(C27/C7,0)</f>
        <v>0.0400000000000001</v>
      </c>
      <c r="D28" s="9" t="n">
        <f aca="false">IFERROR(D27/D7,0)</f>
        <v>0.11</v>
      </c>
      <c r="E28" s="9" t="n">
        <f aca="false">IFERROR(E27/E7,0)</f>
        <v>0.16</v>
      </c>
      <c r="F28" s="9" t="n">
        <f aca="false">IFERROR(F27/F7,0)</f>
        <v>0.19</v>
      </c>
      <c r="G28" s="9" t="n">
        <f aca="false">IFERROR(G27/G7,0)</f>
        <v>0.24</v>
      </c>
      <c r="H28" s="9" t="n">
        <f aca="false">IFERROR(H27/H7,0)</f>
        <v>0.27</v>
      </c>
      <c r="I28" s="9" t="n">
        <f aca="false">IFERROR(I27/I7,0)</f>
        <v>0.31</v>
      </c>
    </row>
    <row r="29" customFormat="false" ht="15" hidden="false" customHeight="false" outlineLevel="0" collapsed="false">
      <c r="A29" s="5" t="s">
        <v>65</v>
      </c>
      <c r="B29" s="7" t="s">
        <v>13</v>
      </c>
      <c r="C29" s="9" t="n">
        <f aca="false">IFERROR(C7/B7-1,0)</f>
        <v>0.509433962264151</v>
      </c>
      <c r="D29" s="9" t="n">
        <f aca="false">IFERROR(D7/C7-1,0)</f>
        <v>0.4625</v>
      </c>
      <c r="E29" s="9" t="n">
        <f aca="false">IFERROR(E7/D7-1,0)</f>
        <v>0.85</v>
      </c>
      <c r="F29" s="9" t="n">
        <f aca="false">IFERROR(F7/E7-1,0)</f>
        <v>0.27</v>
      </c>
      <c r="G29" s="9" t="n">
        <f aca="false">IFERROR(G7/F7-1,0)</f>
        <v>0.253777777777778</v>
      </c>
      <c r="H29" s="9" t="n">
        <f aca="false">IFERROR(H7/G7-1,0)</f>
        <v>0.21</v>
      </c>
      <c r="I29" s="9" t="n">
        <f aca="false">IFERROR(I7/H7-1,0)</f>
        <v>0.18</v>
      </c>
    </row>
  </sheetData>
  <mergeCells count="6">
    <mergeCell ref="A1:I1"/>
    <mergeCell ref="A4:I4"/>
    <mergeCell ref="A8:I8"/>
    <mergeCell ref="A12:I12"/>
    <mergeCell ref="A20:I20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3"/>
  </cols>
  <sheetData>
    <row r="1" customFormat="false" ht="21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3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customFormat="false" ht="18" hidden="false" customHeight="true" outlineLevel="0" collapsed="false">
      <c r="A3" s="4" t="s">
        <v>67</v>
      </c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5" t="s">
        <v>68</v>
      </c>
      <c r="B4" s="10" t="n">
        <f aca="false">'Income Statement'!B24</f>
        <v>-5.41999999999999</v>
      </c>
      <c r="C4" s="10" t="n">
        <f aca="false">'Income Statement'!C24</f>
        <v>2.84400000000001</v>
      </c>
      <c r="D4" s="10" t="n">
        <f aca="false">'Income Statement'!D24</f>
        <v>16.3688</v>
      </c>
      <c r="E4" s="10" t="n">
        <f aca="false">'Income Statement'!E24</f>
        <v>46.82883</v>
      </c>
      <c r="F4" s="10" t="n">
        <f aca="false">'Income Statement'!F24</f>
        <v>71.8625712</v>
      </c>
      <c r="G4" s="10" t="n">
        <f aca="false">'Income Statement'!G24</f>
        <v>116.7258169572</v>
      </c>
      <c r="H4" s="10" t="n">
        <f aca="false">'Income Statement'!H24</f>
        <v>160.507758306528</v>
      </c>
      <c r="I4" s="10" t="n">
        <f aca="false">'Income Statement'!I24</f>
        <v>220.072980601987</v>
      </c>
    </row>
    <row r="5" customFormat="false" ht="15" hidden="false" customHeight="false" outlineLevel="0" collapsed="false">
      <c r="A5" s="5" t="s">
        <v>69</v>
      </c>
      <c r="B5" s="10" t="n">
        <f aca="false">'Income Statement'!B16</f>
        <v>3.18</v>
      </c>
      <c r="C5" s="10" t="n">
        <f aca="false">'Income Statement'!C16</f>
        <v>4.8</v>
      </c>
      <c r="D5" s="10" t="n">
        <f aca="false">'Income Statement'!D16</f>
        <v>7.02</v>
      </c>
      <c r="E5" s="10" t="n">
        <f aca="false">'Income Statement'!E16</f>
        <v>12.987</v>
      </c>
      <c r="F5" s="10" t="n">
        <f aca="false">'Income Statement'!F16</f>
        <v>16.49349</v>
      </c>
      <c r="G5" s="10" t="n">
        <f aca="false">'Income Statement'!G16</f>
        <v>20.67917124</v>
      </c>
      <c r="H5" s="10" t="n">
        <f aca="false">'Income Statement'!H16</f>
        <v>25.0217972004</v>
      </c>
      <c r="I5" s="10" t="n">
        <f aca="false">'Income Statement'!I16</f>
        <v>29.525720696472</v>
      </c>
    </row>
    <row r="6" customFormat="false" ht="15" hidden="false" customHeight="false" outlineLevel="0" collapsed="false">
      <c r="A6" s="5" t="s">
        <v>70</v>
      </c>
      <c r="B6" s="16" t="n">
        <v>0</v>
      </c>
      <c r="C6" s="10" t="n">
        <f aca="false">-('Income Statement'!C7/365*Assumptions!C19-'Income Statement'!B7/365*Assumptions!B19)</f>
        <v>-6.82191780821918</v>
      </c>
      <c r="D6" s="10" t="n">
        <f aca="false">-('Income Statement'!D7/365*Assumptions!D19-'Income Statement'!C7/365*Assumptions!C19)</f>
        <v>-9.26027397260274</v>
      </c>
      <c r="E6" s="10" t="n">
        <f aca="false">-('Income Statement'!E7/365*Assumptions!E19-'Income Statement'!D7/365*Assumptions!D19)</f>
        <v>-24.8745205479452</v>
      </c>
      <c r="F6" s="10" t="n">
        <f aca="false">-('Income Statement'!F7/365*Assumptions!F19-'Income Statement'!E7/365*Assumptions!E19)</f>
        <v>-12.3584054794521</v>
      </c>
      <c r="G6" s="10" t="n">
        <f aca="false">-('Income Statement'!G7/365*Assumptions!G19-'Income Statement'!F7/365*Assumptions!F19)</f>
        <v>-13.806666169863</v>
      </c>
      <c r="H6" s="10" t="n">
        <f aca="false">-('Income Statement'!H7/365*Assumptions!H19-'Income Statement'!G7/365*Assumptions!G19)</f>
        <v>-12.8796299412602</v>
      </c>
      <c r="I6" s="10" t="n">
        <f aca="false">-('Income Statement'!I7/365*Assumptions!I19-'Income Statement'!H7/365*Assumptions!H19)</f>
        <v>-11.8824973006466</v>
      </c>
    </row>
    <row r="7" customFormat="false" ht="15" hidden="false" customHeight="false" outlineLevel="0" collapsed="false">
      <c r="A7" s="5" t="s">
        <v>71</v>
      </c>
      <c r="B7" s="16" t="n">
        <v>0</v>
      </c>
      <c r="C7" s="10" t="n">
        <f aca="false">'Income Statement'!C7/365*Assumptions!C21-'Income Statement'!B7/365*Assumptions!B21</f>
        <v>13.3150684931507</v>
      </c>
      <c r="D7" s="10" t="n">
        <f aca="false">'Income Statement'!D7/365*Assumptions!D21-'Income Statement'!C7/365*Assumptions!C21</f>
        <v>19.5287671232877</v>
      </c>
      <c r="E7" s="10" t="n">
        <f aca="false">'Income Statement'!E7/365*Assumptions!E21-'Income Statement'!D7/365*Assumptions!D21</f>
        <v>50.133698630137</v>
      </c>
      <c r="F7" s="10" t="n">
        <f aca="false">'Income Statement'!F7/365*Assumptions!F21-'Income Statement'!E7/365*Assumptions!E21</f>
        <v>30.9671753424658</v>
      </c>
      <c r="G7" s="10" t="n">
        <f aca="false">'Income Statement'!G7/365*Assumptions!G21-'Income Statement'!F7/365*Assumptions!F21</f>
        <v>35.549621490411</v>
      </c>
      <c r="H7" s="10" t="n">
        <f aca="false">'Income Statement'!H7/365*Assumptions!H21-'Income Statement'!G7/365*Assumptions!G21</f>
        <v>39.1676722847123</v>
      </c>
      <c r="I7" s="10" t="n">
        <f aca="false">'Income Statement'!I7/365*Assumptions!I21-'Income Statement'!H7/365*Assumptions!H21</f>
        <v>38.6638181397961</v>
      </c>
    </row>
    <row r="8" customFormat="false" ht="15" hidden="false" customHeight="false" outlineLevel="0" collapsed="false">
      <c r="A8" s="5" t="s">
        <v>72</v>
      </c>
      <c r="B8" s="16" t="n">
        <v>0</v>
      </c>
      <c r="C8" s="10" t="n">
        <f aca="false">'Income Statement'!C9/365*Assumptions!C20-'Income Statement'!B9/365*Assumptions!B20</f>
        <v>1.1572602739726</v>
      </c>
      <c r="D8" s="10" t="n">
        <f aca="false">'Income Statement'!D9/365*Assumptions!D20-'Income Statement'!C9/365*Assumptions!C20</f>
        <v>1.79901369863014</v>
      </c>
      <c r="E8" s="10" t="n">
        <f aca="false">'Income Statement'!E9/365*Assumptions!E20-'Income Statement'!D9/365*Assumptions!D20</f>
        <v>4.50305753424658</v>
      </c>
      <c r="F8" s="10" t="n">
        <f aca="false">'Income Statement'!F9/365*Assumptions!F20-'Income Statement'!E9/365*Assumptions!E20</f>
        <v>2.67638942465753</v>
      </c>
      <c r="G8" s="10" t="n">
        <f aca="false">'Income Statement'!G9/365*Assumptions!G20-'Income Statement'!F9/365*Assumptions!F20</f>
        <v>2.65653137260274</v>
      </c>
      <c r="H8" s="10" t="n">
        <f aca="false">'Income Statement'!H9/365*Assumptions!H20-'Income Statement'!G9/365*Assumptions!G20</f>
        <v>3.06618286988712</v>
      </c>
      <c r="I8" s="10" t="n">
        <f aca="false">'Income Statement'!I9/365*Assumptions!I20-'Income Statement'!H9/365*Assumptions!H20</f>
        <v>2.43956809964812</v>
      </c>
    </row>
    <row r="9" customFormat="false" ht="15" hidden="false" customHeight="false" outlineLevel="0" collapsed="false">
      <c r="A9" s="13" t="s">
        <v>73</v>
      </c>
      <c r="B9" s="14" t="n">
        <f aca="false">SUM(B4:B8)</f>
        <v>-2.23999999999999</v>
      </c>
      <c r="C9" s="14" t="n">
        <f aca="false">SUM(C4:C8)</f>
        <v>15.2944109589041</v>
      </c>
      <c r="D9" s="14" t="n">
        <f aca="false">SUM(D4:D8)</f>
        <v>35.4563068493151</v>
      </c>
      <c r="E9" s="14" t="n">
        <f aca="false">SUM(E4:E8)</f>
        <v>89.5780656164383</v>
      </c>
      <c r="F9" s="14" t="n">
        <f aca="false">SUM(F4:F8)</f>
        <v>109.641220487671</v>
      </c>
      <c r="G9" s="14" t="n">
        <f aca="false">SUM(G4:G8)</f>
        <v>161.804474890351</v>
      </c>
      <c r="H9" s="14" t="n">
        <f aca="false">SUM(H4:H8)</f>
        <v>214.883780720267</v>
      </c>
      <c r="I9" s="14" t="n">
        <f aca="false">SUM(I4:I8)</f>
        <v>278.819590237257</v>
      </c>
    </row>
    <row r="10" customFormat="false" ht="18" hidden="false" customHeight="true" outlineLevel="0" collapsed="false">
      <c r="A10" s="4" t="s">
        <v>74</v>
      </c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A11" s="5" t="s">
        <v>75</v>
      </c>
      <c r="B11" s="10" t="n">
        <f aca="false">-('Income Statement'!B7*Assumptions!B22)</f>
        <v>-4.24</v>
      </c>
      <c r="C11" s="10" t="n">
        <f aca="false">-('Income Statement'!C7*Assumptions!C22)</f>
        <v>-6.4</v>
      </c>
      <c r="D11" s="10" t="n">
        <f aca="false">-('Income Statement'!D7*Assumptions!D22)</f>
        <v>-7.02</v>
      </c>
      <c r="E11" s="10" t="n">
        <f aca="false">-('Income Statement'!E7*Assumptions!E22)</f>
        <v>-12.987</v>
      </c>
      <c r="F11" s="10" t="n">
        <f aca="false">-('Income Statement'!F7*Assumptions!F22)</f>
        <v>-16.49349</v>
      </c>
      <c r="G11" s="10" t="n">
        <f aca="false">-('Income Statement'!G7*Assumptions!G22)</f>
        <v>-20.67917124</v>
      </c>
      <c r="H11" s="10" t="n">
        <f aca="false">-('Income Statement'!H7*Assumptions!H22)</f>
        <v>-16.6811981336</v>
      </c>
      <c r="I11" s="10" t="n">
        <f aca="false">-('Income Statement'!I7*Assumptions!I22)</f>
        <v>-19.683813797648</v>
      </c>
    </row>
    <row r="12" customFormat="false" ht="15" hidden="false" customHeight="false" outlineLevel="0" collapsed="false">
      <c r="A12" s="13" t="s">
        <v>76</v>
      </c>
      <c r="B12" s="14" t="n">
        <f aca="false">B11</f>
        <v>-4.24</v>
      </c>
      <c r="C12" s="14" t="n">
        <f aca="false">C11</f>
        <v>-6.4</v>
      </c>
      <c r="D12" s="14" t="n">
        <f aca="false">D11</f>
        <v>-7.02</v>
      </c>
      <c r="E12" s="14" t="n">
        <f aca="false">E11</f>
        <v>-12.987</v>
      </c>
      <c r="F12" s="14" t="n">
        <f aca="false">F11</f>
        <v>-16.49349</v>
      </c>
      <c r="G12" s="14" t="n">
        <f aca="false">G11</f>
        <v>-20.67917124</v>
      </c>
      <c r="H12" s="14" t="n">
        <f aca="false">H11</f>
        <v>-16.6811981336</v>
      </c>
      <c r="I12" s="14" t="n">
        <f aca="false">I11</f>
        <v>-19.683813797648</v>
      </c>
    </row>
    <row r="13" customFormat="false" ht="18" hidden="false" customHeight="true" outlineLevel="0" collapsed="false">
      <c r="A13" s="4" t="s">
        <v>77</v>
      </c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5" t="s">
        <v>78</v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</row>
    <row r="15" customFormat="false" ht="15" hidden="false" customHeight="false" outlineLevel="0" collapsed="false">
      <c r="A15" s="5" t="s">
        <v>79</v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</row>
    <row r="16" customFormat="false" ht="15" hidden="false" customHeight="false" outlineLevel="0" collapsed="false">
      <c r="A16" s="13" t="s">
        <v>80</v>
      </c>
      <c r="B16" s="14" t="n">
        <f aca="false">SUM(B14:B15)</f>
        <v>0</v>
      </c>
      <c r="C16" s="14" t="n">
        <f aca="false">SUM(C14:C15)</f>
        <v>0</v>
      </c>
      <c r="D16" s="14" t="n">
        <f aca="false">SUM(D14:D15)</f>
        <v>0</v>
      </c>
      <c r="E16" s="14" t="n">
        <f aca="false">SUM(E14:E15)</f>
        <v>0</v>
      </c>
      <c r="F16" s="14" t="n">
        <f aca="false">SUM(F14:F15)</f>
        <v>0</v>
      </c>
      <c r="G16" s="14" t="n">
        <f aca="false">SUM(G14:G15)</f>
        <v>0</v>
      </c>
      <c r="H16" s="14" t="n">
        <f aca="false">SUM(H14:H15)</f>
        <v>0</v>
      </c>
      <c r="I16" s="14" t="n">
        <f aca="false">SUM(I14:I15)</f>
        <v>0</v>
      </c>
    </row>
    <row r="17" customFormat="false" ht="15" hidden="false" customHeight="false" outlineLevel="0" collapsed="false">
      <c r="A17" s="13" t="s">
        <v>81</v>
      </c>
      <c r="B17" s="15" t="n">
        <f aca="false">B9+B12+B16</f>
        <v>-6.47999999999999</v>
      </c>
      <c r="C17" s="15" t="n">
        <f aca="false">C9+C12+C16</f>
        <v>8.89441095890412</v>
      </c>
      <c r="D17" s="15" t="n">
        <f aca="false">D9+D12+D16</f>
        <v>28.4363068493151</v>
      </c>
      <c r="E17" s="15" t="n">
        <f aca="false">E9+E12+E16</f>
        <v>76.5910656164383</v>
      </c>
      <c r="F17" s="15" t="n">
        <f aca="false">F9+F12+F16</f>
        <v>93.1477304876712</v>
      </c>
      <c r="G17" s="15" t="n">
        <f aca="false">G9+G12+G16</f>
        <v>141.125303650351</v>
      </c>
      <c r="H17" s="15" t="n">
        <f aca="false">H9+H12+H16</f>
        <v>198.202582586667</v>
      </c>
      <c r="I17" s="15" t="n">
        <f aca="false">I9+I12+I16</f>
        <v>259.135776439609</v>
      </c>
    </row>
    <row r="18" customFormat="false" ht="15" hidden="false" customHeight="false" outlineLevel="0" collapsed="false">
      <c r="A18" s="5" t="s">
        <v>82</v>
      </c>
      <c r="B18" s="17" t="n">
        <v>45</v>
      </c>
      <c r="C18" s="10" t="n">
        <f aca="false">B19</f>
        <v>38.52</v>
      </c>
      <c r="D18" s="10" t="n">
        <f aca="false">C19</f>
        <v>47.4144109589041</v>
      </c>
      <c r="E18" s="10" t="n">
        <f aca="false">D19</f>
        <v>75.8507178082192</v>
      </c>
      <c r="F18" s="10" t="n">
        <f aca="false">E19</f>
        <v>152.441783424658</v>
      </c>
      <c r="G18" s="10" t="n">
        <f aca="false">F19</f>
        <v>245.589513912329</v>
      </c>
      <c r="H18" s="10" t="n">
        <f aca="false">G19</f>
        <v>386.714817562679</v>
      </c>
      <c r="I18" s="10" t="n">
        <f aca="false">H19</f>
        <v>584.917400149347</v>
      </c>
    </row>
    <row r="19" customFormat="false" ht="15" hidden="false" customHeight="false" outlineLevel="0" collapsed="false">
      <c r="A19" s="13" t="s">
        <v>83</v>
      </c>
      <c r="B19" s="14" t="n">
        <f aca="false">B18+B17</f>
        <v>38.52</v>
      </c>
      <c r="C19" s="14" t="n">
        <f aca="false">C18+C17</f>
        <v>47.4144109589041</v>
      </c>
      <c r="D19" s="14" t="n">
        <f aca="false">D18+D17</f>
        <v>75.8507178082192</v>
      </c>
      <c r="E19" s="14" t="n">
        <f aca="false">E18+E17</f>
        <v>152.441783424658</v>
      </c>
      <c r="F19" s="14" t="n">
        <f aca="false">F18+F17</f>
        <v>245.589513912329</v>
      </c>
      <c r="G19" s="14" t="n">
        <f aca="false">G18+G17</f>
        <v>386.714817562679</v>
      </c>
      <c r="H19" s="14" t="n">
        <f aca="false">H18+H17</f>
        <v>584.917400149347</v>
      </c>
      <c r="I19" s="14" t="n">
        <f aca="false">I18+I17</f>
        <v>844.053176588955</v>
      </c>
    </row>
    <row r="20" customFormat="false" ht="15" hidden="false" customHeight="false" outlineLevel="0" collapsed="false">
      <c r="A20" s="13" t="s">
        <v>84</v>
      </c>
      <c r="B20" s="15" t="n">
        <f aca="false">B9+B11</f>
        <v>-6.47999999999999</v>
      </c>
      <c r="C20" s="15" t="n">
        <f aca="false">C9+C11</f>
        <v>8.89441095890412</v>
      </c>
      <c r="D20" s="15" t="n">
        <f aca="false">D9+D11</f>
        <v>28.4363068493151</v>
      </c>
      <c r="E20" s="15" t="n">
        <f aca="false">E9+E11</f>
        <v>76.5910656164383</v>
      </c>
      <c r="F20" s="15" t="n">
        <f aca="false">F9+F11</f>
        <v>93.1477304876712</v>
      </c>
      <c r="G20" s="15" t="n">
        <f aca="false">G9+G11</f>
        <v>141.125303650351</v>
      </c>
      <c r="H20" s="15" t="n">
        <f aca="false">H9+H11</f>
        <v>198.202582586667</v>
      </c>
      <c r="I20" s="15" t="n">
        <f aca="false">I9+I11</f>
        <v>259.135776439609</v>
      </c>
    </row>
    <row r="21" customFormat="false" ht="15" hidden="false" customHeight="false" outlineLevel="0" collapsed="false">
      <c r="A21" s="5" t="s">
        <v>85</v>
      </c>
      <c r="B21" s="9" t="n">
        <f aca="false">IFERROR(B20/'Income Statement'!B7,0)</f>
        <v>-0.061132075471698</v>
      </c>
      <c r="C21" s="9" t="n">
        <f aca="false">IFERROR(C20/'Income Statement'!C7,0)</f>
        <v>0.0555900684931508</v>
      </c>
      <c r="D21" s="9" t="n">
        <f aca="false">IFERROR(D20/'Income Statement'!D7,0)</f>
        <v>0.121522678843227</v>
      </c>
      <c r="E21" s="9" t="n">
        <f aca="false">IFERROR(E20/'Income Statement'!E7,0)</f>
        <v>0.176925538499511</v>
      </c>
      <c r="F21" s="9" t="n">
        <f aca="false">IFERROR(F20/'Income Statement'!F7,0)</f>
        <v>0.169426356376373</v>
      </c>
      <c r="G21" s="9" t="n">
        <f aca="false">IFERROR(G20/'Income Statement'!G7,0)</f>
        <v>0.204735434528493</v>
      </c>
      <c r="H21" s="9" t="n">
        <f aca="false">IFERROR(H20/'Income Statement'!H7,0)</f>
        <v>0.237635907204338</v>
      </c>
      <c r="I21" s="9" t="n">
        <f aca="false">IFERROR(I20/'Income Statement'!I7,0)</f>
        <v>0.263298341575018</v>
      </c>
    </row>
  </sheetData>
  <mergeCells count="4">
    <mergeCell ref="A1:I1"/>
    <mergeCell ref="A3:I3"/>
    <mergeCell ref="A10:I10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3"/>
    <col collapsed="false" customWidth="true" hidden="false" outlineLevel="0" max="9" min="8" style="0" width="22"/>
  </cols>
  <sheetData>
    <row r="1" customFormat="false" ht="21.7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3"/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18" hidden="false" customHeight="true" outlineLevel="0" collapsed="false">
      <c r="A3" s="4" t="s">
        <v>87</v>
      </c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5" t="s">
        <v>88</v>
      </c>
      <c r="B4" s="10" t="n">
        <f aca="false">'Cash Flow Statement'!B20</f>
        <v>-6.47999999999999</v>
      </c>
      <c r="C4" s="10" t="n">
        <f aca="false">'Cash Flow Statement'!C20</f>
        <v>8.89441095890412</v>
      </c>
      <c r="D4" s="10" t="n">
        <f aca="false">'Cash Flow Statement'!D20</f>
        <v>28.4363068493151</v>
      </c>
      <c r="E4" s="10" t="n">
        <f aca="false">'Cash Flow Statement'!E20</f>
        <v>76.5910656164383</v>
      </c>
      <c r="F4" s="10" t="n">
        <f aca="false">'Cash Flow Statement'!F20</f>
        <v>93.1477304876712</v>
      </c>
    </row>
    <row r="5" customFormat="false" ht="15" hidden="false" customHeight="false" outlineLevel="0" collapsed="false">
      <c r="A5" s="5" t="s">
        <v>89</v>
      </c>
      <c r="B5" s="18" t="n">
        <v>1</v>
      </c>
      <c r="C5" s="18" t="n">
        <v>2</v>
      </c>
      <c r="D5" s="18" t="n">
        <v>3</v>
      </c>
      <c r="E5" s="18" t="n">
        <v>4</v>
      </c>
      <c r="F5" s="18" t="n">
        <v>5</v>
      </c>
    </row>
    <row r="6" customFormat="false" ht="15" hidden="false" customHeight="false" outlineLevel="0" collapsed="false">
      <c r="A6" s="5" t="s">
        <v>90</v>
      </c>
      <c r="B6" s="19" t="n">
        <f aca="false">1/(1+Assumptions!B24)^1</f>
        <v>0.909090909090909</v>
      </c>
      <c r="C6" s="19" t="n">
        <f aca="false">1/(1+Assumptions!B24)^2</f>
        <v>0.826446280991735</v>
      </c>
      <c r="D6" s="19" t="n">
        <f aca="false">1/(1+Assumptions!B24)^3</f>
        <v>0.751314800901578</v>
      </c>
      <c r="E6" s="19" t="n">
        <f aca="false">1/(1+Assumptions!B24)^4</f>
        <v>0.683013455365071</v>
      </c>
      <c r="F6" s="19" t="n">
        <f aca="false">1/(1+Assumptions!B24)^5</f>
        <v>0.620921323059155</v>
      </c>
    </row>
    <row r="7" customFormat="false" ht="15" hidden="false" customHeight="false" outlineLevel="0" collapsed="false">
      <c r="A7" s="5" t="s">
        <v>91</v>
      </c>
      <c r="B7" s="10" t="n">
        <f aca="false">B4*B6</f>
        <v>-5.89090909090908</v>
      </c>
      <c r="C7" s="10" t="n">
        <f aca="false">C4*C6</f>
        <v>7.35075285859845</v>
      </c>
      <c r="D7" s="10" t="n">
        <f aca="false">D4*D6</f>
        <v>21.3646182188693</v>
      </c>
      <c r="E7" s="10" t="n">
        <f aca="false">E4*E6</f>
        <v>52.3127283767764</v>
      </c>
      <c r="F7" s="10" t="n">
        <f aca="false">F4*F6</f>
        <v>57.8374120543624</v>
      </c>
    </row>
    <row r="8" customFormat="false" ht="18" hidden="false" customHeight="true" outlineLevel="0" collapsed="false">
      <c r="A8" s="4" t="s">
        <v>92</v>
      </c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5" t="s">
        <v>93</v>
      </c>
      <c r="B9" s="10" t="n">
        <f aca="false">'Cash Flow Statement'!F20</f>
        <v>93.1477304876712</v>
      </c>
    </row>
    <row r="10" customFormat="false" ht="15" hidden="false" customHeight="false" outlineLevel="0" collapsed="false">
      <c r="A10" s="5" t="s">
        <v>94</v>
      </c>
      <c r="B10" s="10" t="n">
        <f aca="false">B9*(1+Assumptions!B25)/(Assumptions!B24-Assumptions!B25)</f>
        <v>1370.60232003288</v>
      </c>
    </row>
    <row r="11" customFormat="false" ht="15" hidden="false" customHeight="false" outlineLevel="0" collapsed="false">
      <c r="A11" s="5" t="s">
        <v>95</v>
      </c>
      <c r="B11" s="10" t="n">
        <f aca="false">B10/(1+Assumptions!B24)^5</f>
        <v>851.036205942761</v>
      </c>
    </row>
    <row r="12" customFormat="false" ht="18" hidden="false" customHeight="true" outlineLevel="0" collapsed="false">
      <c r="A12" s="4" t="s">
        <v>96</v>
      </c>
      <c r="B12" s="4"/>
      <c r="C12" s="4"/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A13" s="5" t="s">
        <v>97</v>
      </c>
      <c r="B13" s="10" t="n">
        <f aca="false">SUM(B7:F7)</f>
        <v>132.974602417697</v>
      </c>
    </row>
    <row r="14" customFormat="false" ht="15" hidden="false" customHeight="false" outlineLevel="0" collapsed="false">
      <c r="A14" s="5" t="s">
        <v>98</v>
      </c>
      <c r="B14" s="10" t="n">
        <f aca="false">B11</f>
        <v>851.036205942761</v>
      </c>
    </row>
    <row r="15" customFormat="false" ht="15" hidden="false" customHeight="false" outlineLevel="0" collapsed="false">
      <c r="A15" s="13" t="s">
        <v>99</v>
      </c>
      <c r="B15" s="14" t="n">
        <f aca="false">B13+B14</f>
        <v>984.010808360458</v>
      </c>
    </row>
    <row r="16" customFormat="false" ht="15" hidden="false" customHeight="false" outlineLevel="0" collapsed="false">
      <c r="A16" s="5" t="s">
        <v>100</v>
      </c>
      <c r="B16" s="10" t="n">
        <f aca="false">-Assumptions!B26</f>
        <v>85</v>
      </c>
    </row>
    <row r="17" customFormat="false" ht="15" hidden="false" customHeight="false" outlineLevel="0" collapsed="false">
      <c r="A17" s="13" t="s">
        <v>101</v>
      </c>
      <c r="B17" s="14" t="n">
        <f aca="false">B15+B16</f>
        <v>1069.01080836046</v>
      </c>
    </row>
    <row r="18" customFormat="false" ht="15" hidden="false" customHeight="false" outlineLevel="0" collapsed="false">
      <c r="A18" s="5" t="s">
        <v>38</v>
      </c>
      <c r="B18" s="10" t="n">
        <f aca="false">Assumptions!B27</f>
        <v>125</v>
      </c>
    </row>
    <row r="19" customFormat="false" ht="19.5" hidden="false" customHeight="true" outlineLevel="0" collapsed="false">
      <c r="A19" s="13" t="s">
        <v>102</v>
      </c>
      <c r="B19" s="20" t="n">
        <f aca="false">IFERROR(B17/B18,0)</f>
        <v>8.55208646688367</v>
      </c>
    </row>
    <row r="21" customFormat="false" ht="18" hidden="false" customHeight="true" outlineLevel="0" collapsed="false">
      <c r="A21" s="4" t="s">
        <v>103</v>
      </c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A22" s="21" t="s">
        <v>104</v>
      </c>
      <c r="B22" s="22" t="s">
        <v>105</v>
      </c>
      <c r="C22" s="22" t="s">
        <v>106</v>
      </c>
      <c r="D22" s="22" t="s">
        <v>107</v>
      </c>
      <c r="E22" s="22" t="s">
        <v>108</v>
      </c>
      <c r="F22" s="22" t="s">
        <v>109</v>
      </c>
      <c r="G22" s="22" t="s">
        <v>110</v>
      </c>
    </row>
    <row r="23" customFormat="false" ht="15" hidden="false" customHeight="false" outlineLevel="0" collapsed="false">
      <c r="B23" s="22" t="s">
        <v>111</v>
      </c>
      <c r="C23" s="23" t="n">
        <f aca="false">IFERROR((('Cash Flow Statement'!E20*(1+0.02)/(0.08-0.02)/(1+0.08)^5)+SUMPRODUCT('Cash Flow Statement'!B20:F20,1/(1+0.08)^{1,2,3,4,5})-Assumptions!B26)/Assumptions!B27,0)</f>
        <v>8.92034200010724</v>
      </c>
      <c r="D23" s="23" t="n">
        <f aca="false">IFERROR((('Cash Flow Statement'!E20*(1+0.02)/(0.09-0.02)/(1+0.09)^5)+SUMPRODUCT('Cash Flow Statement'!B20:F20,1/(1+0.09)^{1,2,3,4,5})-Assumptions!B26)/Assumptions!B27,0)</f>
        <v>7.58918597533497</v>
      </c>
      <c r="E23" s="23" t="n">
        <f aca="false">IFERROR((('Cash Flow Statement'!E20*(1+0.02)/(0.1-0.02)/(1+0.1)^5)+SUMPRODUCT('Cash Flow Statement'!B20:F20,1/(1+0.1)^{1,2,3,4,5})-Assumptions!B26)/Assumptions!B27,0)</f>
        <v>6.59461345064266</v>
      </c>
      <c r="F23" s="23" t="n">
        <f aca="false">IFERROR((('Cash Flow Statement'!E20*(1+0.02)/(0.11-0.02)/(1+0.11)^5)+SUMPRODUCT('Cash Flow Statement'!B20:F20,1/(1+0.11)^{1,2,3,4,5})-Assumptions!B26)/Assumptions!B27,0)</f>
        <v>5.82431830899174</v>
      </c>
      <c r="G23" s="23" t="n">
        <f aca="false">IFERROR((('Cash Flow Statement'!E20*(1+0.02)/(0.12-0.02)/(1+0.12)^5)+SUMPRODUCT('Cash Flow Statement'!B20:F20,1/(1+0.12)^{1,2,3,4,5})-Assumptions!B26)/Assumptions!B27,0)</f>
        <v>5.21092023023384</v>
      </c>
    </row>
    <row r="24" customFormat="false" ht="15" hidden="false" customHeight="false" outlineLevel="0" collapsed="false">
      <c r="B24" s="22" t="s">
        <v>112</v>
      </c>
      <c r="C24" s="23" t="n">
        <f aca="false">IFERROR((('Cash Flow Statement'!E20*(1+0.025)/(0.08-0.025)/(1+0.08)^5)+SUMPRODUCT('Cash Flow Statement'!B20:F20,1/(1+0.08)^{1,2,3,4,5})-Assumptions!B26)/Assumptions!B27,0)</f>
        <v>9.6027264811445</v>
      </c>
      <c r="D24" s="23" t="n">
        <f aca="false">IFERROR((('Cash Flow Statement'!E20*(1+0.025)/(0.09-0.025)/(1+0.09)^5)+SUMPRODUCT('Cash Flow Statement'!B20:F20,1/(1+0.09)^{1,2,3,4,5})-Assumptions!B26)/Assumptions!B27,0)</f>
        <v>8.06618854082977</v>
      </c>
      <c r="E24" s="23" t="n">
        <f aca="false">IFERROR((('Cash Flow Statement'!E20*(1+0.025)/(0.1-0.025)/(1+0.1)^5)+SUMPRODUCT('Cash Flow Statement'!B20:F20,1/(1+0.1)^{1,2,3,4,5})-Assumptions!B26)/Assumptions!B27,0)</f>
        <v>6.9433649731545</v>
      </c>
      <c r="F24" s="23" t="n">
        <f aca="false">IFERROR((('Cash Flow Statement'!E20*(1+0.025)/(0.11-0.025)/(1+0.11)^5)+SUMPRODUCT('Cash Flow Statement'!B20:F20,1/(1+0.11)^{1,2,3,4,5})-Assumptions!B26)/Assumptions!B27,0)</f>
        <v>6.08812436004701</v>
      </c>
      <c r="G24" s="23" t="n">
        <f aca="false">IFERROR((('Cash Flow Statement'!E20*(1+0.025)/(0.12-0.025)/(1+0.12)^5)+SUMPRODUCT('Cash Flow Statement'!B20:F20,1/(1+0.12)^{1,2,3,4,5})-Assumptions!B26)/Assumptions!B27,0)</f>
        <v>5.41586762746979</v>
      </c>
    </row>
    <row r="25" customFormat="false" ht="15" hidden="false" customHeight="false" outlineLevel="0" collapsed="false">
      <c r="B25" s="22" t="s">
        <v>113</v>
      </c>
      <c r="C25" s="23" t="n">
        <f aca="false">IFERROR((('Cash Flow Statement'!E20*(1+0.03)/(0.08-0.03)/(1+0.08)^5)+SUMPRODUCT('Cash Flow Statement'!B20:F20,1/(1+0.08)^{1,2,3,4,5})-Assumptions!B26)/Assumptions!B27,0)</f>
        <v>10.4215878583892</v>
      </c>
      <c r="D25" s="23" t="n">
        <f aca="false">IFERROR((('Cash Flow Statement'!E20*(1+0.03)/(0.09-0.03)/(1+0.09)^5)+SUMPRODUCT('Cash Flow Statement'!B20:F20,1/(1+0.09)^{1,2,3,4,5})-Assumptions!B26)/Assumptions!B27,0)</f>
        <v>8.62269153390704</v>
      </c>
      <c r="E25" s="24" t="n">
        <f aca="false">IFERROR((('Cash Flow Statement'!E20*(1+0.03)/(0.1-0.03)/(1+0.1)^5)+SUMPRODUCT('Cash Flow Statement'!B20:F20,1/(1+0.1)^{1,2,3,4,5})-Assumptions!B26)/Assumptions!B27,0)</f>
        <v>7.34193814173947</v>
      </c>
      <c r="F25" s="23" t="n">
        <f aca="false">IFERROR((('Cash Flow Statement'!E20*(1+0.03)/(0.11-0.03)/(1+0.11)^5)+SUMPRODUCT('Cash Flow Statement'!B20:F20,1/(1+0.11)^{1,2,3,4,5})-Assumptions!B26)/Assumptions!B27,0)</f>
        <v>6.38490616748418</v>
      </c>
      <c r="G25" s="23" t="n">
        <f aca="false">IFERROR((('Cash Flow Statement'!E20*(1+0.03)/(0.12-0.03)/(1+0.12)^5)+SUMPRODUCT('Cash Flow Statement'!B20:F20,1/(1+0.12)^{1,2,3,4,5})-Assumptions!B26)/Assumptions!B27,0)</f>
        <v>5.64358695773195</v>
      </c>
    </row>
    <row r="26" customFormat="false" ht="15" hidden="false" customHeight="false" outlineLevel="0" collapsed="false">
      <c r="B26" s="22" t="s">
        <v>114</v>
      </c>
      <c r="C26" s="23" t="n">
        <f aca="false">IFERROR((('Cash Flow Statement'!E20*(1+0.035)/(0.08-0.035)/(1+0.08)^5)+SUMPRODUCT('Cash Flow Statement'!B20:F20,1/(1+0.08)^{1,2,3,4,5})-Assumptions!B26)/Assumptions!B27,0)</f>
        <v>11.4224184305772</v>
      </c>
      <c r="D26" s="23" t="n">
        <f aca="false">IFERROR((('Cash Flow Statement'!E20*(1+0.035)/(0.09-0.035)/(1+0.09)^5)+SUMPRODUCT('Cash Flow Statement'!B20:F20,1/(1+0.09)^{1,2,3,4,5})-Assumptions!B26)/Assumptions!B27,0)</f>
        <v>9.28037688936199</v>
      </c>
      <c r="E26" s="23" t="n">
        <f aca="false">IFERROR((('Cash Flow Statement'!E20*(1+0.035)/(0.1-0.035)/(1+0.1)^5)+SUMPRODUCT('Cash Flow Statement'!B20:F20,1/(1+0.1)^{1,2,3,4,5})-Assumptions!B26)/Assumptions!B27,0)</f>
        <v>7.8018302593375</v>
      </c>
      <c r="F26" s="23" t="n">
        <f aca="false">IFERROR((('Cash Flow Statement'!E20*(1+0.035)/(0.11-0.035)/(1+0.11)^5)+SUMPRODUCT('Cash Flow Statement'!B20:F20,1/(1+0.11)^{1,2,3,4,5})-Assumptions!B26)/Assumptions!B27,0)</f>
        <v>6.72125888257965</v>
      </c>
      <c r="G26" s="23" t="n">
        <f aca="false">IFERROR((('Cash Flow Statement'!E20*(1+0.035)/(0.12-0.035)/(1+0.12)^5)+SUMPRODUCT('Cash Flow Statement'!B20:F20,1/(1+0.12)^{1,2,3,4,5})-Assumptions!B26)/Assumptions!B27,0)</f>
        <v>5.89809679743672</v>
      </c>
    </row>
    <row r="27" customFormat="false" ht="15" hidden="false" customHeight="false" outlineLevel="0" collapsed="false">
      <c r="B27" s="22" t="s">
        <v>115</v>
      </c>
      <c r="C27" s="23" t="n">
        <f aca="false">IFERROR((('Cash Flow Statement'!E20*(1+0.04)/(0.08-0.04)/(1+0.08)^5)+SUMPRODUCT('Cash Flow Statement'!B20:F20,1/(1+0.08)^{1,2,3,4,5})-Assumptions!B26)/Assumptions!B27,0)</f>
        <v>12.6734566458122</v>
      </c>
      <c r="D27" s="23" t="n">
        <f aca="false">IFERROR((('Cash Flow Statement'!E20*(1+0.04)/(0.09-0.04)/(1+0.09)^5)+SUMPRODUCT('Cash Flow Statement'!B20:F20,1/(1+0.09)^{1,2,3,4,5})-Assumptions!B26)/Assumptions!B27,0)</f>
        <v>10.0695993159079</v>
      </c>
      <c r="E27" s="23" t="n">
        <f aca="false">IFERROR((('Cash Flow Statement'!E20*(1+0.04)/(0.1-0.04)/(1+0.1)^5)+SUMPRODUCT('Cash Flow Statement'!B20:F20,1/(1+0.1)^{1,2,3,4,5})-Assumptions!B26)/Assumptions!B27,0)</f>
        <v>8.33837106320187</v>
      </c>
      <c r="F27" s="23" t="n">
        <f aca="false">IFERROR((('Cash Flow Statement'!E20*(1+0.04)/(0.11-0.04)/(1+0.11)^5)+SUMPRODUCT('Cash Flow Statement'!B20:F20,1/(1+0.11)^{1,2,3,4,5})-Assumptions!B26)/Assumptions!B27,0)</f>
        <v>7.1056619855459</v>
      </c>
      <c r="G27" s="23" t="n">
        <f aca="false">IFERROR((('Cash Flow Statement'!E20*(1+0.04)/(0.12-0.04)/(1+0.12)^5)+SUMPRODUCT('Cash Flow Statement'!B20:F20,1/(1+0.12)^{1,2,3,4,5})-Assumptions!B26)/Assumptions!B27,0)</f>
        <v>6.18442036710458</v>
      </c>
    </row>
    <row r="28" customFormat="false" ht="15" hidden="false" customHeight="false" outlineLevel="0" collapsed="false">
      <c r="A28" s="2" t="s">
        <v>116</v>
      </c>
    </row>
  </sheetData>
  <mergeCells count="5">
    <mergeCell ref="A1:I1"/>
    <mergeCell ref="A3:I3"/>
    <mergeCell ref="A8:I8"/>
    <mergeCell ref="A12:I12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21.75" hidden="false" customHeight="true" outlineLevel="0" collapsed="false">
      <c r="A1" s="1" t="s">
        <v>117</v>
      </c>
      <c r="B1" s="1"/>
      <c r="C1" s="1"/>
      <c r="D1" s="1"/>
    </row>
    <row r="2" customFormat="false" ht="30" hidden="false" customHeight="true" outlineLevel="0" collapsed="false">
      <c r="A2" s="3" t="s">
        <v>118</v>
      </c>
      <c r="B2" s="3" t="s">
        <v>119</v>
      </c>
      <c r="C2" s="3" t="s">
        <v>120</v>
      </c>
      <c r="D2" s="3" t="s">
        <v>121</v>
      </c>
    </row>
    <row r="3" customFormat="false" ht="15" hidden="false" customHeight="false" outlineLevel="0" collapsed="false">
      <c r="A3" s="5" t="s">
        <v>122</v>
      </c>
      <c r="B3" s="25" t="s">
        <v>123</v>
      </c>
      <c r="C3" s="26" t="s">
        <v>124</v>
      </c>
      <c r="D3" s="27" t="s">
        <v>125</v>
      </c>
    </row>
    <row r="4" customFormat="false" ht="15" hidden="false" customHeight="false" outlineLevel="0" collapsed="false">
      <c r="A4" s="5" t="s">
        <v>126</v>
      </c>
      <c r="B4" s="25" t="s">
        <v>127</v>
      </c>
      <c r="C4" s="26" t="s">
        <v>128</v>
      </c>
      <c r="D4" s="27" t="s">
        <v>129</v>
      </c>
    </row>
    <row r="5" customFormat="false" ht="15" hidden="false" customHeight="false" outlineLevel="0" collapsed="false">
      <c r="A5" s="5" t="s">
        <v>130</v>
      </c>
      <c r="B5" s="25" t="s">
        <v>131</v>
      </c>
      <c r="C5" s="26" t="s">
        <v>132</v>
      </c>
      <c r="D5" s="27" t="s">
        <v>133</v>
      </c>
    </row>
    <row r="6" customFormat="false" ht="15" hidden="false" customHeight="false" outlineLevel="0" collapsed="false">
      <c r="A6" s="13" t="s">
        <v>134</v>
      </c>
      <c r="B6" s="28" t="s">
        <v>135</v>
      </c>
      <c r="C6" s="29" t="s">
        <v>136</v>
      </c>
      <c r="D6" s="30" t="s">
        <v>137</v>
      </c>
    </row>
    <row r="7" customFormat="false" ht="15" hidden="false" customHeight="false" outlineLevel="0" collapsed="false">
      <c r="A7" s="13" t="s">
        <v>138</v>
      </c>
      <c r="B7" s="28" t="s">
        <v>139</v>
      </c>
      <c r="C7" s="29" t="s">
        <v>140</v>
      </c>
      <c r="D7" s="30" t="s">
        <v>141</v>
      </c>
    </row>
    <row r="8" customFormat="false" ht="15" hidden="false" customHeight="false" outlineLevel="0" collapsed="false">
      <c r="A8" s="5" t="s">
        <v>142</v>
      </c>
      <c r="B8" s="25" t="s">
        <v>143</v>
      </c>
      <c r="C8" s="26" t="s">
        <v>144</v>
      </c>
      <c r="D8" s="27" t="s">
        <v>145</v>
      </c>
    </row>
    <row r="9" customFormat="false" ht="15" hidden="false" customHeight="false" outlineLevel="0" collapsed="false">
      <c r="A9" s="13" t="s">
        <v>102</v>
      </c>
      <c r="B9" s="28" t="s">
        <v>146</v>
      </c>
      <c r="C9" s="29" t="s">
        <v>147</v>
      </c>
      <c r="D9" s="30" t="s">
        <v>148</v>
      </c>
    </row>
    <row r="11" customFormat="false" ht="15" hidden="false" customHeight="false" outlineLevel="0" collapsed="false">
      <c r="A11" s="31" t="s">
        <v>149</v>
      </c>
    </row>
    <row r="12" customFormat="false" ht="15" hidden="false" customHeight="false" outlineLevel="0" collapsed="false">
      <c r="A12" s="32" t="s">
        <v>150</v>
      </c>
      <c r="B12" s="32"/>
      <c r="C12" s="32"/>
      <c r="D12" s="32"/>
    </row>
    <row r="13" customFormat="false" ht="15" hidden="false" customHeight="false" outlineLevel="0" collapsed="false">
      <c r="A13" s="32" t="s">
        <v>151</v>
      </c>
      <c r="B13" s="32"/>
      <c r="C13" s="32"/>
      <c r="D13" s="32"/>
    </row>
    <row r="14" customFormat="false" ht="15" hidden="false" customHeight="false" outlineLevel="0" collapsed="false">
      <c r="A14" s="32" t="s">
        <v>152</v>
      </c>
      <c r="B14" s="32"/>
      <c r="C14" s="32"/>
      <c r="D14" s="32"/>
    </row>
  </sheetData>
  <mergeCells count="4">
    <mergeCell ref="A1:D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2026-03-16T23:47:08Z</dcterms:created>
  <dc:creator>openpyxl</dc:creator>
  <dc:description/>
  <dc:language>en-US</dc:language>
  <cp:lastModifiedBy/>
  <dcterms:modified xsi:type="dcterms:W3CDTF">2026-03-16T23:47:08Z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