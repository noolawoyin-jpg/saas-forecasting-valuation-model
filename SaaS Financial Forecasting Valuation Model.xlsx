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DCF Valuation" sheetId="4" state="visible" r:id="rId4"/>
    <sheet xmlns:r="http://schemas.openxmlformats.org/officeDocument/2006/relationships" name="Scenario Analysi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#,##0;\(#,##0\);\-"/>
    <numFmt numFmtId="165" formatCode="0.0%;\(0.0%\);\-"/>
    <numFmt numFmtId="166" formatCode="0.0"/>
    <numFmt numFmtId="167" formatCode="0.000"/>
    <numFmt numFmtId="168" formatCode="\$#,##0.0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color rgb="FF000000"/>
      <sz val="10"/>
    </font>
    <font>
      <name val="Arial"/>
      <charset val="1"/>
      <family val="0"/>
      <i val="1"/>
      <sz val="9"/>
    </font>
  </fonts>
  <fills count="10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E2EFDA"/>
        <bgColor rgb="FFF2F2F2"/>
      </patternFill>
    </fill>
    <fill>
      <patternFill patternType="solid">
        <fgColor rgb="FFD6DCE4"/>
        <bgColor rgb="FFDAE3F3"/>
      </patternFill>
    </fill>
    <fill>
      <patternFill patternType="solid">
        <fgColor rgb="FFDAE3F3"/>
        <bgColor rgb="FFD6DCE4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bottom" indent="1"/>
    </xf>
    <xf numFmtId="164" fontId="9" fillId="4" borderId="1" applyAlignment="1" pivotButton="0" quotePrefix="0" xfId="0">
      <alignment horizontal="right" vertical="bottom"/>
    </xf>
    <xf numFmtId="0" fontId="0" fillId="0" borderId="0" applyAlignment="1" pivotButton="0" quotePrefix="0" xfId="0">
      <alignment horizontal="center" vertical="bottom"/>
    </xf>
    <xf numFmtId="165" fontId="9" fillId="4" borderId="1" applyAlignment="1" pivotButton="0" quotePrefix="0" xfId="0">
      <alignment horizontal="right" vertical="bottom"/>
    </xf>
    <xf numFmtId="165" fontId="10" fillId="0" borderId="1" applyAlignment="1" pivotButton="0" quotePrefix="0" xfId="0">
      <alignment horizontal="right" vertical="bottom"/>
    </xf>
    <xf numFmtId="164" fontId="10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left" vertical="bottom" indent="1"/>
    </xf>
    <xf numFmtId="0" fontId="5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left" vertical="bottom" indent="1"/>
    </xf>
    <xf numFmtId="164" fontId="11" fillId="5" borderId="1" applyAlignment="1" pivotButton="0" quotePrefix="0" xfId="0">
      <alignment horizontal="right" vertical="bottom"/>
    </xf>
    <xf numFmtId="164" fontId="11" fillId="6" borderId="1" applyAlignment="1" pivotButton="0" quotePrefix="0" xfId="0">
      <alignment horizontal="right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6" fontId="10" fillId="0" borderId="1" applyAlignment="1" pivotButton="0" quotePrefix="0" xfId="0">
      <alignment horizontal="right" vertical="bottom"/>
    </xf>
    <xf numFmtId="167" fontId="10" fillId="0" borderId="1" applyAlignment="1" pivotButton="0" quotePrefix="0" xfId="0">
      <alignment horizontal="right" vertical="bottom"/>
    </xf>
    <xf numFmtId="168" fontId="12" fillId="0" borderId="1" applyAlignment="1" pivotButton="0" quotePrefix="0" xfId="0">
      <alignment horizontal="right" vertical="bottom"/>
    </xf>
    <xf numFmtId="0" fontId="13" fillId="0" borderId="0" applyAlignment="1" pivotButton="0" quotePrefix="0" xfId="0">
      <alignment horizontal="center" vertical="bottom"/>
    </xf>
    <xf numFmtId="0" fontId="6" fillId="3" borderId="0" applyAlignment="1" pivotButton="0" quotePrefix="0" xfId="0">
      <alignment horizontal="center" vertical="bottom"/>
    </xf>
    <xf numFmtId="168" fontId="0" fillId="0" borderId="1" applyAlignment="1" pivotButton="0" quotePrefix="0" xfId="0">
      <alignment horizontal="center" vertical="bottom"/>
    </xf>
    <xf numFmtId="168" fontId="13" fillId="7" borderId="1" applyAlignment="1" pivotButton="0" quotePrefix="0" xfId="0">
      <alignment horizontal="center" vertical="bottom"/>
    </xf>
    <xf numFmtId="0" fontId="8" fillId="8" borderId="1" applyAlignment="1" pivotButton="0" quotePrefix="0" xfId="0">
      <alignment horizontal="center" vertical="bottom"/>
    </xf>
    <xf numFmtId="0" fontId="8" fillId="9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center" vertical="bottom"/>
    </xf>
    <xf numFmtId="0" fontId="11" fillId="8" borderId="1" applyAlignment="1" pivotButton="0" quotePrefix="0" xfId="0">
      <alignment horizontal="center" vertical="bottom"/>
    </xf>
    <xf numFmtId="0" fontId="11" fillId="9" borderId="1" applyAlignment="1" pivotButton="0" quotePrefix="0" xfId="0">
      <alignment horizontal="center" vertical="bottom"/>
    </xf>
    <xf numFmtId="0" fontId="11" fillId="4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bottom" indent="1"/>
    </xf>
    <xf numFmtId="164" fontId="9" fillId="4" borderId="1" applyAlignment="1" pivotButton="0" quotePrefix="0" xfId="0">
      <alignment horizontal="right" vertical="bottom"/>
    </xf>
    <xf numFmtId="0" fontId="0" fillId="0" borderId="0" applyAlignment="1" pivotButton="0" quotePrefix="0" xfId="0">
      <alignment horizontal="center" vertical="bottom"/>
    </xf>
    <xf numFmtId="165" fontId="9" fillId="4" borderId="1" applyAlignment="1" pivotButton="0" quotePrefix="0" xfId="0">
      <alignment horizontal="right" vertical="bottom"/>
    </xf>
    <xf numFmtId="165" fontId="10" fillId="0" borderId="1" applyAlignment="1" pivotButton="0" quotePrefix="0" xfId="0">
      <alignment horizontal="right" vertical="bottom"/>
    </xf>
    <xf numFmtId="164" fontId="10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1" applyAlignment="1" pivotButton="0" quotePrefix="0" xfId="0">
      <alignment horizontal="left" vertical="bottom" indent="1"/>
    </xf>
    <xf numFmtId="164" fontId="11" fillId="5" borderId="1" applyAlignment="1" pivotButton="0" quotePrefix="0" xfId="0">
      <alignment horizontal="right" vertical="bottom"/>
    </xf>
    <xf numFmtId="164" fontId="11" fillId="6" borderId="1" applyAlignment="1" pivotButton="0" quotePrefix="0" xfId="0">
      <alignment horizontal="right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6" fontId="10" fillId="0" borderId="1" applyAlignment="1" pivotButton="0" quotePrefix="0" xfId="0">
      <alignment horizontal="right" vertical="bottom"/>
    </xf>
    <xf numFmtId="167" fontId="10" fillId="0" borderId="1" applyAlignment="1" pivotButton="0" quotePrefix="0" xfId="0">
      <alignment horizontal="right" vertical="bottom"/>
    </xf>
    <xf numFmtId="168" fontId="12" fillId="0" borderId="1" applyAlignment="1" pivotButton="0" quotePrefix="0" xfId="0">
      <alignment horizontal="right" vertical="bottom"/>
    </xf>
    <xf numFmtId="0" fontId="13" fillId="0" borderId="0" applyAlignment="1" pivotButton="0" quotePrefix="0" xfId="0">
      <alignment horizontal="center" vertical="bottom"/>
    </xf>
    <xf numFmtId="0" fontId="6" fillId="3" borderId="0" applyAlignment="1" pivotButton="0" quotePrefix="0" xfId="0">
      <alignment horizontal="center" vertical="bottom"/>
    </xf>
    <xf numFmtId="168" fontId="0" fillId="0" borderId="1" applyAlignment="1" pivotButton="0" quotePrefix="0" xfId="0">
      <alignment horizontal="center" vertical="bottom"/>
    </xf>
    <xf numFmtId="168" fontId="13" fillId="7" borderId="1" applyAlignment="1" pivotButton="0" quotePrefix="0" xfId="0">
      <alignment horizontal="center" vertical="bottom"/>
    </xf>
    <xf numFmtId="0" fontId="8" fillId="8" borderId="1" applyAlignment="1" pivotButton="0" quotePrefix="0" xfId="0">
      <alignment horizontal="center" vertical="bottom"/>
    </xf>
    <xf numFmtId="0" fontId="8" fillId="9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center" vertical="bottom"/>
    </xf>
    <xf numFmtId="0" fontId="11" fillId="8" borderId="1" applyAlignment="1" pivotButton="0" quotePrefix="0" xfId="0">
      <alignment horizontal="center" vertical="bottom"/>
    </xf>
    <xf numFmtId="0" fontId="11" fillId="9" borderId="1" applyAlignment="1" pivotButton="0" quotePrefix="0" xfId="0">
      <alignment horizontal="center" vertical="bottom"/>
    </xf>
    <xf numFmtId="0" fontId="11" fillId="4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B8B8"/>
      <rgbColor rgb="FF808080"/>
      <rgbColor rgb="FF9999FF"/>
      <rgbColor rgb="FF993366"/>
      <rgbColor rgb="FFF2F2F2"/>
      <rgbColor rgb="FFDAE3F3"/>
      <rgbColor rgb="FF660066"/>
      <rgbColor rgb="FFFF8080"/>
      <rgbColor rgb="FF2E75B6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000"/>
      <rgbColor rgb="FFFF9900"/>
      <rgbColor rgb="FFFF6600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F4E79"/>
    <outlinePr summaryBelow="1" summaryRight="1"/>
    <pageSetUpPr fitToPage="0"/>
  </sheetPr>
  <dimension ref="A1:I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28" customWidth="1" style="33" min="1" max="1"/>
    <col width="14" customWidth="1" style="33" min="2" max="9"/>
  </cols>
  <sheetData>
    <row r="1" ht="21.75" customHeight="1" s="34">
      <c r="A1" s="35" t="inlineStr">
        <is>
          <t xml:space="preserve">  NovaSaaS Inc.: Model Assumptions &amp; Drivers</t>
        </is>
      </c>
    </row>
    <row r="2" ht="13.5" customHeight="1" s="34">
      <c r="A2" s="36" t="inlineStr">
        <is>
          <t>All figures in $mm unless noted. Blue = hardcoded input. Black = formula.</t>
        </is>
      </c>
    </row>
    <row r="3" ht="30" customHeight="1" s="34">
      <c r="A3" s="37" t="inlineStr">
        <is>
          <t>Assumption / Driver</t>
        </is>
      </c>
      <c r="B3" s="37" t="inlineStr">
        <is>
          <t>FY2022A</t>
        </is>
      </c>
      <c r="C3" s="37" t="inlineStr">
        <is>
          <t>FY2023A</t>
        </is>
      </c>
      <c r="D3" s="37" t="inlineStr">
        <is>
          <t>FY2024A</t>
        </is>
      </c>
      <c r="E3" s="37" t="inlineStr">
        <is>
          <t>FY2025E</t>
        </is>
      </c>
      <c r="F3" s="37" t="inlineStr">
        <is>
          <t>FY2026E</t>
        </is>
      </c>
      <c r="G3" s="37" t="inlineStr">
        <is>
          <t>FY2027E</t>
        </is>
      </c>
      <c r="H3" s="37" t="inlineStr">
        <is>
          <t>FY2028E</t>
        </is>
      </c>
      <c r="I3" s="37" t="inlineStr">
        <is>
          <t>FY2029E</t>
        </is>
      </c>
    </row>
    <row r="4" ht="18" customHeight="1" s="34">
      <c r="A4" s="38" t="inlineStr">
        <is>
          <t xml:space="preserve">  Revenue Assumptions</t>
        </is>
      </c>
    </row>
    <row r="5" ht="15" customHeight="1" s="34">
      <c r="A5" s="39" t="inlineStr">
        <is>
          <t>ARR, Beginning of Period ($mm)</t>
        </is>
      </c>
      <c r="B5" s="40" t="n">
        <v>120</v>
      </c>
      <c r="C5" s="40" t="n">
        <v>185</v>
      </c>
      <c r="D5" s="40" t="n">
        <v>268</v>
      </c>
      <c r="E5" s="41" t="inlineStr">
        <is>
          <t>—</t>
        </is>
      </c>
      <c r="F5" s="41" t="inlineStr">
        <is>
          <t>—</t>
        </is>
      </c>
      <c r="G5" s="41" t="inlineStr">
        <is>
          <t>—</t>
        </is>
      </c>
      <c r="H5" s="41" t="inlineStr">
        <is>
          <t>—</t>
        </is>
      </c>
      <c r="I5" s="41" t="inlineStr">
        <is>
          <t>—</t>
        </is>
      </c>
    </row>
    <row r="6" ht="15" customHeight="1" s="34">
      <c r="A6" s="39" t="inlineStr">
        <is>
          <t>Net New ARR ($mm)</t>
        </is>
      </c>
      <c r="B6" s="40" t="n">
        <v>65</v>
      </c>
      <c r="C6" s="40" t="n">
        <v>83</v>
      </c>
      <c r="D6" s="40" t="n">
        <v>102</v>
      </c>
      <c r="E6" s="41" t="inlineStr">
        <is>
          <t>—</t>
        </is>
      </c>
      <c r="F6" s="41" t="inlineStr">
        <is>
          <t>—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—</t>
        </is>
      </c>
    </row>
    <row r="7" ht="15" customHeight="1" s="34">
      <c r="A7" s="39" t="inlineStr">
        <is>
          <t>ARR Growth Rate</t>
        </is>
      </c>
      <c r="B7" s="42" t="n">
        <v>0.18</v>
      </c>
      <c r="C7" s="42" t="n">
        <v>0.18</v>
      </c>
      <c r="D7" s="42" t="n">
        <v>0.18</v>
      </c>
      <c r="E7" s="43" t="n">
        <v>0.3</v>
      </c>
      <c r="F7" s="43" t="n">
        <v>0.27</v>
      </c>
      <c r="G7" s="43" t="n">
        <v>0.24</v>
      </c>
      <c r="H7" s="43" t="n">
        <v>0.21</v>
      </c>
      <c r="I7" s="43" t="n">
        <v>0.18</v>
      </c>
    </row>
    <row r="8" ht="15" customHeight="1" s="34">
      <c r="A8" s="39" t="inlineStr">
        <is>
          <t>ARR, End of Period ($mm)</t>
        </is>
      </c>
      <c r="B8" s="40" t="n">
        <v>185</v>
      </c>
      <c r="C8" s="40" t="n">
        <v>268</v>
      </c>
      <c r="D8" s="40" t="n">
        <v>370</v>
      </c>
      <c r="E8" s="44">
        <f>D8*(1+E7)</f>
        <v/>
      </c>
      <c r="F8" s="44">
        <f>E8*(1+F7)</f>
        <v/>
      </c>
      <c r="G8" s="44">
        <f>F8*(1+G7)</f>
        <v/>
      </c>
      <c r="H8" s="44">
        <f>G8*(1+H7)</f>
        <v/>
      </c>
      <c r="I8" s="44">
        <f>H8*(1+I7)</f>
        <v/>
      </c>
    </row>
    <row r="9" ht="15" customHeight="1" s="34">
      <c r="A9" s="39" t="inlineStr">
        <is>
          <t>Revenue Recognition (% of ARR)</t>
        </is>
      </c>
      <c r="B9" s="42" t="n">
        <v>0.88</v>
      </c>
      <c r="C9" s="42" t="n">
        <v>0.89</v>
      </c>
      <c r="D9" s="42" t="n">
        <v>0.9</v>
      </c>
      <c r="E9" s="42" t="n">
        <v>0.9</v>
      </c>
      <c r="F9" s="42" t="n">
        <v>0.9</v>
      </c>
      <c r="G9" s="42" t="n">
        <v>0.91</v>
      </c>
      <c r="H9" s="42" t="n">
        <v>0.91</v>
      </c>
      <c r="I9" s="42" t="n">
        <v>0.91</v>
      </c>
    </row>
    <row r="10" ht="15" customHeight="1" s="34">
      <c r="A10" s="39" t="inlineStr">
        <is>
          <t>Total Revenue ($mm)</t>
        </is>
      </c>
      <c r="B10" s="40" t="n">
        <v>106</v>
      </c>
      <c r="C10" s="40" t="n">
        <v>160</v>
      </c>
      <c r="D10" s="40" t="n">
        <v>234</v>
      </c>
      <c r="E10" s="44">
        <f>E8*E9</f>
        <v/>
      </c>
      <c r="F10" s="44">
        <f>F8*F9</f>
        <v/>
      </c>
      <c r="G10" s="44">
        <f>G8*G9</f>
        <v/>
      </c>
      <c r="H10" s="44">
        <f>H8*H9</f>
        <v/>
      </c>
      <c r="I10" s="44">
        <f>I8*I9</f>
        <v/>
      </c>
    </row>
    <row r="11" ht="18" customHeight="1" s="34">
      <c r="A11" s="38" t="inlineStr">
        <is>
          <t xml:space="preserve">  Margin &amp; Cost Assumptions</t>
        </is>
      </c>
    </row>
    <row r="12" ht="15" customHeight="1" s="34">
      <c r="A12" s="39" t="inlineStr">
        <is>
          <t>Gross Margin %</t>
        </is>
      </c>
      <c r="B12" s="42" t="n">
        <v>0.68</v>
      </c>
      <c r="C12" s="42" t="n">
        <v>0.7</v>
      </c>
      <c r="D12" s="42" t="n">
        <v>0.72</v>
      </c>
      <c r="E12" s="42" t="n">
        <v>0.73</v>
      </c>
      <c r="F12" s="42" t="n">
        <v>0.74</v>
      </c>
      <c r="G12" s="42" t="n">
        <v>0.75</v>
      </c>
      <c r="H12" s="42" t="n">
        <v>0.76</v>
      </c>
      <c r="I12" s="42" t="n">
        <v>0.77</v>
      </c>
    </row>
    <row r="13" ht="15" customHeight="1" s="34">
      <c r="A13" s="39" t="inlineStr">
        <is>
          <t>S&amp;M % of Revenue</t>
        </is>
      </c>
      <c r="B13" s="42" t="n">
        <v>0.42</v>
      </c>
      <c r="C13" s="42" t="n">
        <v>0.38</v>
      </c>
      <c r="D13" s="42" t="n">
        <v>0.35</v>
      </c>
      <c r="E13" s="42" t="n">
        <v>0.33</v>
      </c>
      <c r="F13" s="42" t="n">
        <v>0.31</v>
      </c>
      <c r="G13" s="42" t="n">
        <v>0.29</v>
      </c>
      <c r="H13" s="42" t="n">
        <v>0.27</v>
      </c>
      <c r="I13" s="42" t="n">
        <v>0.25</v>
      </c>
    </row>
    <row r="14" ht="15" customHeight="1" s="34">
      <c r="A14" s="39" t="inlineStr">
        <is>
          <t>R&amp;D % of Revenue</t>
        </is>
      </c>
      <c r="B14" s="42" t="n">
        <v>0.18</v>
      </c>
      <c r="C14" s="42" t="n">
        <v>0.17</v>
      </c>
      <c r="D14" s="42" t="n">
        <v>0.16</v>
      </c>
      <c r="E14" s="42" t="n">
        <v>0.15</v>
      </c>
      <c r="F14" s="42" t="n">
        <v>0.15</v>
      </c>
      <c r="G14" s="42" t="n">
        <v>0.14</v>
      </c>
      <c r="H14" s="42" t="n">
        <v>0.14</v>
      </c>
      <c r="I14" s="42" t="n">
        <v>0.13</v>
      </c>
    </row>
    <row r="15" ht="15" customHeight="1" s="34">
      <c r="A15" s="39" t="inlineStr">
        <is>
          <t>G&amp;A % of Revenue</t>
        </is>
      </c>
      <c r="B15" s="42" t="n">
        <v>0.12</v>
      </c>
      <c r="C15" s="42" t="n">
        <v>0.11</v>
      </c>
      <c r="D15" s="42" t="n">
        <v>0.1</v>
      </c>
      <c r="E15" s="42" t="n">
        <v>0.09</v>
      </c>
      <c r="F15" s="42" t="n">
        <v>0.09</v>
      </c>
      <c r="G15" s="42" t="n">
        <v>0.08</v>
      </c>
      <c r="H15" s="42" t="n">
        <v>0.08</v>
      </c>
      <c r="I15" s="42" t="n">
        <v>0.08</v>
      </c>
    </row>
    <row r="16" ht="15" customHeight="1" s="34">
      <c r="A16" s="39" t="inlineStr">
        <is>
          <t>D&amp;A % of Revenue</t>
        </is>
      </c>
      <c r="B16" s="42" t="n">
        <v>0.03</v>
      </c>
      <c r="C16" s="42" t="n">
        <v>0.03</v>
      </c>
      <c r="D16" s="42" t="n">
        <v>0.03</v>
      </c>
      <c r="E16" s="42" t="n">
        <v>0.03</v>
      </c>
      <c r="F16" s="42" t="n">
        <v>0.03</v>
      </c>
      <c r="G16" s="42" t="n">
        <v>0.03</v>
      </c>
      <c r="H16" s="42" t="n">
        <v>0.03</v>
      </c>
      <c r="I16" s="42" t="n">
        <v>0.03</v>
      </c>
    </row>
    <row r="17" ht="15" customHeight="1" s="34">
      <c r="A17" s="39" t="inlineStr">
        <is>
          <t>Effective Tax Rate</t>
        </is>
      </c>
      <c r="B17" s="42" t="n">
        <v>0.21</v>
      </c>
      <c r="C17" s="42" t="n">
        <v>0.21</v>
      </c>
      <c r="D17" s="42" t="n">
        <v>0.21</v>
      </c>
      <c r="E17" s="42" t="n">
        <v>0.21</v>
      </c>
      <c r="F17" s="42" t="n">
        <v>0.21</v>
      </c>
      <c r="G17" s="42" t="n">
        <v>0.21</v>
      </c>
      <c r="H17" s="42" t="n">
        <v>0.21</v>
      </c>
      <c r="I17" s="42" t="n">
        <v>0.21</v>
      </c>
    </row>
    <row r="18" ht="18" customHeight="1" s="34">
      <c r="A18" s="38" t="inlineStr">
        <is>
          <t xml:space="preserve">  Balance Sheet &amp; Working Capital</t>
        </is>
      </c>
    </row>
    <row r="19" ht="15" customHeight="1" s="34">
      <c r="A19" s="39" t="inlineStr">
        <is>
          <t>DSO (Days)</t>
        </is>
      </c>
      <c r="B19" s="40" t="n">
        <v>55</v>
      </c>
      <c r="C19" s="40" t="n">
        <v>52</v>
      </c>
      <c r="D19" s="40" t="n">
        <v>50</v>
      </c>
      <c r="E19" s="40" t="n">
        <v>48</v>
      </c>
      <c r="F19" s="40" t="n">
        <v>46</v>
      </c>
      <c r="G19" s="40" t="n">
        <v>44</v>
      </c>
      <c r="H19" s="40" t="n">
        <v>42</v>
      </c>
      <c r="I19" s="40" t="n">
        <v>40</v>
      </c>
    </row>
    <row r="20" ht="15" customHeight="1" s="34">
      <c r="A20" s="39" t="inlineStr">
        <is>
          <t>DPO (Days)</t>
        </is>
      </c>
      <c r="B20" s="40" t="n">
        <v>30</v>
      </c>
      <c r="C20" s="40" t="n">
        <v>30</v>
      </c>
      <c r="D20" s="40" t="n">
        <v>32</v>
      </c>
      <c r="E20" s="40" t="n">
        <v>32</v>
      </c>
      <c r="F20" s="40" t="n">
        <v>33</v>
      </c>
      <c r="G20" s="40" t="n">
        <v>33</v>
      </c>
      <c r="H20" s="40" t="n">
        <v>34</v>
      </c>
      <c r="I20" s="40" t="n">
        <v>34</v>
      </c>
    </row>
    <row r="21" ht="15" customHeight="1" s="34">
      <c r="A21" s="39" t="inlineStr">
        <is>
          <t>Deferred Revenue (days)</t>
        </is>
      </c>
      <c r="B21" s="40" t="n">
        <v>90</v>
      </c>
      <c r="C21" s="40" t="n">
        <v>90</v>
      </c>
      <c r="D21" s="40" t="n">
        <v>92</v>
      </c>
      <c r="E21" s="40" t="n">
        <v>92</v>
      </c>
      <c r="F21" s="40" t="n">
        <v>93</v>
      </c>
      <c r="G21" s="40" t="n">
        <v>93</v>
      </c>
      <c r="H21" s="40" t="n">
        <v>94</v>
      </c>
      <c r="I21" s="40" t="n">
        <v>94</v>
      </c>
    </row>
    <row r="22" ht="15" customHeight="1" s="34">
      <c r="A22" s="39" t="inlineStr">
        <is>
          <t>Capex % of Revenue</t>
        </is>
      </c>
      <c r="B22" s="42" t="n">
        <v>0.04</v>
      </c>
      <c r="C22" s="42" t="n">
        <v>0.04</v>
      </c>
      <c r="D22" s="42" t="n">
        <v>0.03</v>
      </c>
      <c r="E22" s="42" t="n">
        <v>0.03</v>
      </c>
      <c r="F22" s="42" t="n">
        <v>0.03</v>
      </c>
      <c r="G22" s="42" t="n">
        <v>0.03</v>
      </c>
      <c r="H22" s="42" t="n">
        <v>0.02</v>
      </c>
      <c r="I22" s="42" t="n">
        <v>0.02</v>
      </c>
    </row>
    <row r="23" ht="18" customHeight="1" s="34">
      <c r="A23" s="38" t="inlineStr">
        <is>
          <t xml:space="preserve">  DCF Valuation Assumptions</t>
        </is>
      </c>
    </row>
    <row r="24" ht="15" customHeight="1" s="34">
      <c r="A24" s="45" t="inlineStr">
        <is>
          <t>WACC</t>
        </is>
      </c>
      <c r="B24" s="42" t="n">
        <v>0.1</v>
      </c>
      <c r="C24" s="36" t="inlineStr">
        <is>
          <t>← Discount rate (risk-free + equity risk premium + size/specific risk)</t>
        </is>
      </c>
    </row>
    <row r="25" ht="15" customHeight="1" s="34">
      <c r="A25" s="45" t="inlineStr">
        <is>
          <t>Terminal Growth Rate</t>
        </is>
      </c>
      <c r="B25" s="42" t="n">
        <v>0.03</v>
      </c>
      <c r="C25" s="36" t="inlineStr">
        <is>
          <t>← Long-term perpetuity growth assumption</t>
        </is>
      </c>
    </row>
    <row r="26" ht="15" customHeight="1" s="34">
      <c r="A26" s="45" t="inlineStr">
        <is>
          <t>Net Debt / (Cash) ($mm)</t>
        </is>
      </c>
      <c r="B26" s="40" t="n">
        <v>-85</v>
      </c>
      <c r="C26" s="36" t="inlineStr">
        <is>
          <t>← Negative = net cash position</t>
        </is>
      </c>
    </row>
    <row r="27" ht="15" customHeight="1" s="34">
      <c r="A27" s="45" t="inlineStr">
        <is>
          <t>Diluted Shares Outstanding (mm)</t>
        </is>
      </c>
      <c r="B27" s="40" t="n">
        <v>125</v>
      </c>
    </row>
  </sheetData>
  <mergeCells count="8">
    <mergeCell ref="A11:I11"/>
    <mergeCell ref="C26:I26"/>
    <mergeCell ref="A1:I1"/>
    <mergeCell ref="A23:I23"/>
    <mergeCell ref="A18:I18"/>
    <mergeCell ref="C24:I24"/>
    <mergeCell ref="A4:I4"/>
    <mergeCell ref="C25:I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I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32" customWidth="1" style="33" min="1" max="1"/>
    <col width="13" customWidth="1" style="33" min="2" max="9"/>
  </cols>
  <sheetData>
    <row r="1" ht="21.75" customHeight="1" s="34">
      <c r="A1" s="35" t="inlineStr">
        <is>
          <t xml:space="preserve">  NovaSaaS Inc.: Income Statement ($mm)</t>
        </is>
      </c>
    </row>
    <row r="2" ht="15" customHeight="1" s="34">
      <c r="A2" s="36" t="inlineStr">
        <is>
          <t>Source: Hypothetical SaaS company for portfolio demonstration. All figures in $mm.</t>
        </is>
      </c>
    </row>
    <row r="3" ht="30" customHeight="1" s="34">
      <c r="A3" s="37" t="n"/>
      <c r="B3" s="37" t="inlineStr">
        <is>
          <t>FY2022A</t>
        </is>
      </c>
      <c r="C3" s="37" t="inlineStr">
        <is>
          <t>FY2023A</t>
        </is>
      </c>
      <c r="D3" s="37" t="inlineStr">
        <is>
          <t>FY2024A</t>
        </is>
      </c>
      <c r="E3" s="37" t="inlineStr">
        <is>
          <t>FY2025E</t>
        </is>
      </c>
      <c r="F3" s="37" t="inlineStr">
        <is>
          <t>FY2026E</t>
        </is>
      </c>
      <c r="G3" s="37" t="inlineStr">
        <is>
          <t>FY2027E</t>
        </is>
      </c>
      <c r="H3" s="37" t="inlineStr">
        <is>
          <t>FY2028E</t>
        </is>
      </c>
      <c r="I3" s="37" t="inlineStr">
        <is>
          <t>FY2029E</t>
        </is>
      </c>
    </row>
    <row r="4" ht="18" customHeight="1" s="34">
      <c r="A4" s="38" t="inlineStr">
        <is>
          <t xml:space="preserve">  Revenue</t>
        </is>
      </c>
    </row>
    <row r="5" ht="15" customHeight="1" s="34">
      <c r="A5" s="39" t="inlineStr">
        <is>
          <t xml:space="preserve">  Subscription Revenue</t>
        </is>
      </c>
      <c r="B5" s="40" t="n">
        <v>95</v>
      </c>
      <c r="C5" s="40" t="n">
        <v>144</v>
      </c>
      <c r="D5" s="40" t="n">
        <v>211</v>
      </c>
      <c r="E5" s="44">
        <f>Assumptions!E10*0.92</f>
        <v/>
      </c>
      <c r="F5" s="44">
        <f>Assumptions!F10*0.92</f>
        <v/>
      </c>
      <c r="G5" s="44">
        <f>Assumptions!G10*0.92</f>
        <v/>
      </c>
      <c r="H5" s="44">
        <f>Assumptions!H10*0.92</f>
        <v/>
      </c>
      <c r="I5" s="44">
        <f>Assumptions!I10*0.92</f>
        <v/>
      </c>
    </row>
    <row r="6" ht="15" customHeight="1" s="34">
      <c r="A6" s="39" t="inlineStr">
        <is>
          <t xml:space="preserve">  Professional Services</t>
        </is>
      </c>
      <c r="B6" s="40" t="n">
        <v>11</v>
      </c>
      <c r="C6" s="40" t="n">
        <v>16</v>
      </c>
      <c r="D6" s="40" t="n">
        <v>23</v>
      </c>
      <c r="E6" s="44">
        <f>Assumptions!E10*0.08</f>
        <v/>
      </c>
      <c r="F6" s="44">
        <f>Assumptions!F10*0.08</f>
        <v/>
      </c>
      <c r="G6" s="44">
        <f>Assumptions!G10*0.08</f>
        <v/>
      </c>
      <c r="H6" s="44">
        <f>Assumptions!H10*0.08</f>
        <v/>
      </c>
      <c r="I6" s="44">
        <f>Assumptions!I10*0.08</f>
        <v/>
      </c>
    </row>
    <row r="7" ht="15" customHeight="1" s="34">
      <c r="A7" s="46" t="inlineStr">
        <is>
          <t>Total Revenue</t>
        </is>
      </c>
      <c r="B7" s="47">
        <f>SUM(B5:B6)</f>
        <v/>
      </c>
      <c r="C7" s="47">
        <f>SUM(C5:C6)</f>
        <v/>
      </c>
      <c r="D7" s="47">
        <f>SUM(D5:D6)</f>
        <v/>
      </c>
      <c r="E7" s="47">
        <f>SUM(E5:E6)</f>
        <v/>
      </c>
      <c r="F7" s="47">
        <f>SUM(F5:F6)</f>
        <v/>
      </c>
      <c r="G7" s="47">
        <f>SUM(G5:G6)</f>
        <v/>
      </c>
      <c r="H7" s="47">
        <f>SUM(H5:H6)</f>
        <v/>
      </c>
      <c r="I7" s="47">
        <f>SUM(I5:I6)</f>
        <v/>
      </c>
    </row>
    <row r="8" ht="18" customHeight="1" s="34">
      <c r="A8" s="38" t="inlineStr">
        <is>
          <t xml:space="preserve">  Cost of Revenue</t>
        </is>
      </c>
    </row>
    <row r="9" ht="15" customHeight="1" s="34">
      <c r="A9" s="39" t="inlineStr">
        <is>
          <t xml:space="preserve">  Cost of Revenue</t>
        </is>
      </c>
      <c r="B9" s="44">
        <f>B7*(1-Assumptions!B12)</f>
        <v/>
      </c>
      <c r="C9" s="44">
        <f>C7*(1-Assumptions!C12)</f>
        <v/>
      </c>
      <c r="D9" s="44">
        <f>D7*(1-Assumptions!D12)</f>
        <v/>
      </c>
      <c r="E9" s="44">
        <f>E7*(1-Assumptions!E12)</f>
        <v/>
      </c>
      <c r="F9" s="44">
        <f>F7*(1-Assumptions!F12)</f>
        <v/>
      </c>
      <c r="G9" s="44">
        <f>G7*(1-Assumptions!G12)</f>
        <v/>
      </c>
      <c r="H9" s="44">
        <f>H7*(1-Assumptions!H12)</f>
        <v/>
      </c>
      <c r="I9" s="44">
        <f>I7*(1-Assumptions!I12)</f>
        <v/>
      </c>
    </row>
    <row r="10" ht="15" customHeight="1" s="34">
      <c r="A10" s="46" t="inlineStr">
        <is>
          <t>Gross Profit</t>
        </is>
      </c>
      <c r="B10" s="47">
        <f>B7-B9</f>
        <v/>
      </c>
      <c r="C10" s="47">
        <f>C7-C9</f>
        <v/>
      </c>
      <c r="D10" s="47">
        <f>D7-D9</f>
        <v/>
      </c>
      <c r="E10" s="47">
        <f>E7-E9</f>
        <v/>
      </c>
      <c r="F10" s="47">
        <f>F7-F9</f>
        <v/>
      </c>
      <c r="G10" s="47">
        <f>G7-G9</f>
        <v/>
      </c>
      <c r="H10" s="47">
        <f>H7-H9</f>
        <v/>
      </c>
      <c r="I10" s="47">
        <f>I7-I9</f>
        <v/>
      </c>
    </row>
    <row r="11" ht="15" customHeight="1" s="34">
      <c r="A11" s="39" t="inlineStr">
        <is>
          <t xml:space="preserve">  Gross Margin %</t>
        </is>
      </c>
      <c r="B11" s="43">
        <f>B10/B7</f>
        <v/>
      </c>
      <c r="C11" s="43">
        <f>C10/C7</f>
        <v/>
      </c>
      <c r="D11" s="43">
        <f>D10/D7</f>
        <v/>
      </c>
      <c r="E11" s="43">
        <f>E10/E7</f>
        <v/>
      </c>
      <c r="F11" s="43">
        <f>F10/F7</f>
        <v/>
      </c>
      <c r="G11" s="43">
        <f>G10/G7</f>
        <v/>
      </c>
      <c r="H11" s="43">
        <f>H10/H7</f>
        <v/>
      </c>
      <c r="I11" s="43">
        <f>I10/I7</f>
        <v/>
      </c>
    </row>
    <row r="12" ht="18" customHeight="1" s="34">
      <c r="A12" s="38" t="inlineStr">
        <is>
          <t xml:space="preserve">  Operating Expenses</t>
        </is>
      </c>
    </row>
    <row r="13" ht="15" customHeight="1" s="34">
      <c r="A13" s="39" t="inlineStr">
        <is>
          <t xml:space="preserve">  Sales &amp; Marketing</t>
        </is>
      </c>
      <c r="B13" s="44">
        <f>B7*Assumptions!B13</f>
        <v/>
      </c>
      <c r="C13" s="44">
        <f>C7*Assumptions!C13</f>
        <v/>
      </c>
      <c r="D13" s="44">
        <f>D7*Assumptions!D13</f>
        <v/>
      </c>
      <c r="E13" s="44">
        <f>E7*Assumptions!E13</f>
        <v/>
      </c>
      <c r="F13" s="44">
        <f>F7*Assumptions!F13</f>
        <v/>
      </c>
      <c r="G13" s="44">
        <f>G7*Assumptions!G13</f>
        <v/>
      </c>
      <c r="H13" s="44">
        <f>H7*Assumptions!H13</f>
        <v/>
      </c>
      <c r="I13" s="44">
        <f>I7*Assumptions!I13</f>
        <v/>
      </c>
    </row>
    <row r="14" ht="15" customHeight="1" s="34">
      <c r="A14" s="39" t="inlineStr">
        <is>
          <t xml:space="preserve">  Research &amp; Development</t>
        </is>
      </c>
      <c r="B14" s="44">
        <f>B7*Assumptions!B14</f>
        <v/>
      </c>
      <c r="C14" s="44">
        <f>C7*Assumptions!C14</f>
        <v/>
      </c>
      <c r="D14" s="44">
        <f>D7*Assumptions!D14</f>
        <v/>
      </c>
      <c r="E14" s="44">
        <f>E7*Assumptions!E14</f>
        <v/>
      </c>
      <c r="F14" s="44">
        <f>F7*Assumptions!F14</f>
        <v/>
      </c>
      <c r="G14" s="44">
        <f>G7*Assumptions!G14</f>
        <v/>
      </c>
      <c r="H14" s="44">
        <f>H7*Assumptions!H14</f>
        <v/>
      </c>
      <c r="I14" s="44">
        <f>I7*Assumptions!I14</f>
        <v/>
      </c>
    </row>
    <row r="15" ht="15" customHeight="1" s="34">
      <c r="A15" s="39" t="inlineStr">
        <is>
          <t xml:space="preserve">  General &amp; Administrative</t>
        </is>
      </c>
      <c r="B15" s="44">
        <f>B7*Assumptions!B15</f>
        <v/>
      </c>
      <c r="C15" s="44">
        <f>C7*Assumptions!C15</f>
        <v/>
      </c>
      <c r="D15" s="44">
        <f>D7*Assumptions!D15</f>
        <v/>
      </c>
      <c r="E15" s="44">
        <f>E7*Assumptions!E15</f>
        <v/>
      </c>
      <c r="F15" s="44">
        <f>F7*Assumptions!F15</f>
        <v/>
      </c>
      <c r="G15" s="44">
        <f>G7*Assumptions!G15</f>
        <v/>
      </c>
      <c r="H15" s="44">
        <f>H7*Assumptions!H15</f>
        <v/>
      </c>
      <c r="I15" s="44">
        <f>I7*Assumptions!I15</f>
        <v/>
      </c>
    </row>
    <row r="16" ht="15" customHeight="1" s="34">
      <c r="A16" s="39" t="inlineStr">
        <is>
          <t xml:space="preserve">  Depreciation &amp; Amortization</t>
        </is>
      </c>
      <c r="B16" s="44">
        <f>B7*Assumptions!B16</f>
        <v/>
      </c>
      <c r="C16" s="44">
        <f>C7*Assumptions!C16</f>
        <v/>
      </c>
      <c r="D16" s="44">
        <f>D7*Assumptions!D16</f>
        <v/>
      </c>
      <c r="E16" s="44">
        <f>E7*Assumptions!E16</f>
        <v/>
      </c>
      <c r="F16" s="44">
        <f>F7*Assumptions!F16</f>
        <v/>
      </c>
      <c r="G16" s="44">
        <f>G7*Assumptions!G16</f>
        <v/>
      </c>
      <c r="H16" s="44">
        <f>H7*Assumptions!H16</f>
        <v/>
      </c>
      <c r="I16" s="44">
        <f>I7*Assumptions!I16</f>
        <v/>
      </c>
    </row>
    <row r="17" ht="15" customHeight="1" s="34">
      <c r="A17" s="46" t="inlineStr">
        <is>
          <t>Total OpEx</t>
        </is>
      </c>
      <c r="B17" s="47">
        <f>SUM(B13:B16)</f>
        <v/>
      </c>
      <c r="C17" s="47">
        <f>SUM(C13:C16)</f>
        <v/>
      </c>
      <c r="D17" s="47">
        <f>SUM(D13:D16)</f>
        <v/>
      </c>
      <c r="E17" s="47">
        <f>SUM(E13:E16)</f>
        <v/>
      </c>
      <c r="F17" s="47">
        <f>SUM(F13:F16)</f>
        <v/>
      </c>
      <c r="G17" s="47">
        <f>SUM(G13:G16)</f>
        <v/>
      </c>
      <c r="H17" s="47">
        <f>SUM(H13:H16)</f>
        <v/>
      </c>
      <c r="I17" s="47">
        <f>SUM(I13:I16)</f>
        <v/>
      </c>
    </row>
    <row r="18" ht="15" customHeight="1" s="34">
      <c r="A18" s="46" t="inlineStr">
        <is>
          <t>EBIT (Operating Income)</t>
        </is>
      </c>
      <c r="B18" s="47">
        <f>B10-B17</f>
        <v/>
      </c>
      <c r="C18" s="47">
        <f>C10-C17</f>
        <v/>
      </c>
      <c r="D18" s="47">
        <f>D10-D17</f>
        <v/>
      </c>
      <c r="E18" s="47">
        <f>E10-E17</f>
        <v/>
      </c>
      <c r="F18" s="47">
        <f>F10-F17</f>
        <v/>
      </c>
      <c r="G18" s="47">
        <f>G10-G17</f>
        <v/>
      </c>
      <c r="H18" s="47">
        <f>H10-H17</f>
        <v/>
      </c>
      <c r="I18" s="47">
        <f>I10-I17</f>
        <v/>
      </c>
    </row>
    <row r="19" ht="15" customHeight="1" s="34">
      <c r="A19" s="39" t="inlineStr">
        <is>
          <t xml:space="preserve">  EBIT Margin %</t>
        </is>
      </c>
      <c r="B19" s="43">
        <f>IFERROR(B18/B7,0)</f>
        <v/>
      </c>
      <c r="C19" s="43">
        <f>IFERROR(C18/C7,0)</f>
        <v/>
      </c>
      <c r="D19" s="43">
        <f>IFERROR(D18/D7,0)</f>
        <v/>
      </c>
      <c r="E19" s="43">
        <f>IFERROR(E18/E7,0)</f>
        <v/>
      </c>
      <c r="F19" s="43">
        <f>IFERROR(F18/F7,0)</f>
        <v/>
      </c>
      <c r="G19" s="43">
        <f>IFERROR(G18/G7,0)</f>
        <v/>
      </c>
      <c r="H19" s="43">
        <f>IFERROR(H18/H7,0)</f>
        <v/>
      </c>
      <c r="I19" s="43">
        <f>IFERROR(I18/I7,0)</f>
        <v/>
      </c>
    </row>
    <row r="20" ht="18" customHeight="1" s="34">
      <c r="A20" s="38" t="inlineStr">
        <is>
          <t xml:space="preserve">  Below the Line</t>
        </is>
      </c>
    </row>
    <row r="21" ht="15" customHeight="1" s="34">
      <c r="A21" s="39" t="inlineStr">
        <is>
          <t xml:space="preserve">  Interest Income / (Expense)</t>
        </is>
      </c>
      <c r="B21" s="40" t="n">
        <v>2</v>
      </c>
      <c r="C21" s="40" t="n">
        <v>2</v>
      </c>
      <c r="D21" s="40" t="n">
        <v>2</v>
      </c>
      <c r="E21" s="40" t="n">
        <v>3</v>
      </c>
      <c r="F21" s="40" t="n">
        <v>3</v>
      </c>
      <c r="G21" s="40" t="n">
        <v>3</v>
      </c>
      <c r="H21" s="40" t="n">
        <v>3</v>
      </c>
      <c r="I21" s="40" t="n">
        <v>3</v>
      </c>
    </row>
    <row r="22" ht="15" customHeight="1" s="34">
      <c r="A22" s="46" t="inlineStr">
        <is>
          <t>Pre-Tax Income</t>
        </is>
      </c>
      <c r="B22" s="47">
        <f>B18+B21</f>
        <v/>
      </c>
      <c r="C22" s="47">
        <f>C18+C21</f>
        <v/>
      </c>
      <c r="D22" s="47">
        <f>D18+D21</f>
        <v/>
      </c>
      <c r="E22" s="47">
        <f>E18+E21</f>
        <v/>
      </c>
      <c r="F22" s="47">
        <f>F18+F21</f>
        <v/>
      </c>
      <c r="G22" s="47">
        <f>G18+G21</f>
        <v/>
      </c>
      <c r="H22" s="47">
        <f>H18+H21</f>
        <v/>
      </c>
      <c r="I22" s="47">
        <f>I18+I21</f>
        <v/>
      </c>
    </row>
    <row r="23" ht="15" customHeight="1" s="34">
      <c r="A23" s="39" t="inlineStr">
        <is>
          <t xml:space="preserve">  Income Tax Expense</t>
        </is>
      </c>
      <c r="B23" s="44">
        <f>MAX(0,B22*Assumptions!B17)</f>
        <v/>
      </c>
      <c r="C23" s="44">
        <f>MAX(0,C22*Assumptions!B17)</f>
        <v/>
      </c>
      <c r="D23" s="44">
        <f>MAX(0,D22*Assumptions!B17)</f>
        <v/>
      </c>
      <c r="E23" s="44">
        <f>MAX(0,E22*Assumptions!B17)</f>
        <v/>
      </c>
      <c r="F23" s="44">
        <f>MAX(0,F22*Assumptions!B17)</f>
        <v/>
      </c>
      <c r="G23" s="44">
        <f>MAX(0,G22*Assumptions!B17)</f>
        <v/>
      </c>
      <c r="H23" s="44">
        <f>MAX(0,H22*Assumptions!B17)</f>
        <v/>
      </c>
      <c r="I23" s="44">
        <f>MAX(0,I22*Assumptions!B17)</f>
        <v/>
      </c>
    </row>
    <row r="24" ht="15" customHeight="1" s="34">
      <c r="A24" s="46" t="inlineStr">
        <is>
          <t>Net Income</t>
        </is>
      </c>
      <c r="B24" s="47">
        <f>B22-B23</f>
        <v/>
      </c>
      <c r="C24" s="47">
        <f>C22-C23</f>
        <v/>
      </c>
      <c r="D24" s="47">
        <f>D22-D23</f>
        <v/>
      </c>
      <c r="E24" s="47">
        <f>E22-E23</f>
        <v/>
      </c>
      <c r="F24" s="47">
        <f>F22-F23</f>
        <v/>
      </c>
      <c r="G24" s="47">
        <f>G22-G23</f>
        <v/>
      </c>
      <c r="H24" s="47">
        <f>H22-H23</f>
        <v/>
      </c>
      <c r="I24" s="47">
        <f>I22-I23</f>
        <v/>
      </c>
    </row>
    <row r="25" ht="15" customHeight="1" s="34">
      <c r="A25" s="39" t="inlineStr">
        <is>
          <t xml:space="preserve">  Net Margin %</t>
        </is>
      </c>
      <c r="B25" s="43">
        <f>IFERROR(B24/B7,0)</f>
        <v/>
      </c>
      <c r="C25" s="43">
        <f>IFERROR(C24/C7,0)</f>
        <v/>
      </c>
      <c r="D25" s="43">
        <f>IFERROR(D24/D7,0)</f>
        <v/>
      </c>
      <c r="E25" s="43">
        <f>IFERROR(E24/E7,0)</f>
        <v/>
      </c>
      <c r="F25" s="43">
        <f>IFERROR(F24/F7,0)</f>
        <v/>
      </c>
      <c r="G25" s="43">
        <f>IFERROR(G24/G7,0)</f>
        <v/>
      </c>
      <c r="H25" s="43">
        <f>IFERROR(H24/H7,0)</f>
        <v/>
      </c>
      <c r="I25" s="43">
        <f>IFERROR(I24/I7,0)</f>
        <v/>
      </c>
    </row>
    <row r="26" ht="18" customHeight="1" s="34">
      <c r="A26" s="38" t="inlineStr">
        <is>
          <t xml:space="preserve">  EBITDA Bridge</t>
        </is>
      </c>
    </row>
    <row r="27" ht="15" customHeight="1" s="34">
      <c r="A27" s="46" t="inlineStr">
        <is>
          <t>EBITDA</t>
        </is>
      </c>
      <c r="B27" s="48">
        <f>B18+B16</f>
        <v/>
      </c>
      <c r="C27" s="48">
        <f>C18+C16</f>
        <v/>
      </c>
      <c r="D27" s="48">
        <f>D18+D16</f>
        <v/>
      </c>
      <c r="E27" s="48">
        <f>E18+E16</f>
        <v/>
      </c>
      <c r="F27" s="48">
        <f>F18+F16</f>
        <v/>
      </c>
      <c r="G27" s="48">
        <f>G18+G16</f>
        <v/>
      </c>
      <c r="H27" s="48">
        <f>H18+H16</f>
        <v/>
      </c>
      <c r="I27" s="48">
        <f>I18+I16</f>
        <v/>
      </c>
    </row>
    <row r="28" ht="15" customHeight="1" s="34">
      <c r="A28" s="39" t="inlineStr">
        <is>
          <t xml:space="preserve">  EBITDA Margin %</t>
        </is>
      </c>
      <c r="B28" s="43">
        <f>IFERROR(B27/B7,0)</f>
        <v/>
      </c>
      <c r="C28" s="43">
        <f>IFERROR(C27/C7,0)</f>
        <v/>
      </c>
      <c r="D28" s="43">
        <f>IFERROR(D27/D7,0)</f>
        <v/>
      </c>
      <c r="E28" s="43">
        <f>IFERROR(E27/E7,0)</f>
        <v/>
      </c>
      <c r="F28" s="43">
        <f>IFERROR(F27/F7,0)</f>
        <v/>
      </c>
      <c r="G28" s="43">
        <f>IFERROR(G27/G7,0)</f>
        <v/>
      </c>
      <c r="H28" s="43">
        <f>IFERROR(H27/H7,0)</f>
        <v/>
      </c>
      <c r="I28" s="43">
        <f>IFERROR(I27/I7,0)</f>
        <v/>
      </c>
    </row>
    <row r="29" ht="15" customHeight="1" s="34">
      <c r="A29" s="39" t="inlineStr">
        <is>
          <t>YoY Revenue Growth</t>
        </is>
      </c>
      <c r="B29" s="41" t="inlineStr">
        <is>
          <t>—</t>
        </is>
      </c>
      <c r="C29" s="43">
        <f>IFERROR(C7/B7-1,0)</f>
        <v/>
      </c>
      <c r="D29" s="43">
        <f>IFERROR(D7/C7-1,0)</f>
        <v/>
      </c>
      <c r="E29" s="43">
        <f>IFERROR(E7/D7-1,0)</f>
        <v/>
      </c>
      <c r="F29" s="43">
        <f>IFERROR(F7/E7-1,0)</f>
        <v/>
      </c>
      <c r="G29" s="43">
        <f>IFERROR(G7/F7-1,0)</f>
        <v/>
      </c>
      <c r="H29" s="43">
        <f>IFERROR(H7/G7-1,0)</f>
        <v/>
      </c>
      <c r="I29" s="43">
        <f>IFERROR(I7/H7-1,0)</f>
        <v/>
      </c>
    </row>
  </sheetData>
  <mergeCells count="6">
    <mergeCell ref="A20:I20"/>
    <mergeCell ref="A1:I1"/>
    <mergeCell ref="A8:I8"/>
    <mergeCell ref="A12:I12"/>
    <mergeCell ref="A4:I4"/>
    <mergeCell ref="A26:I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4472C4"/>
    <outlinePr summaryBelow="1" summaryRight="1"/>
    <pageSetUpPr fitToPage="0"/>
  </sheetPr>
  <dimension ref="A1:I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32" customWidth="1" style="33" min="1" max="1"/>
    <col width="13" customWidth="1" style="33" min="2" max="9"/>
  </cols>
  <sheetData>
    <row r="1" ht="21.75" customHeight="1" s="34">
      <c r="A1" s="35" t="inlineStr">
        <is>
          <t xml:space="preserve">  NovaSaaS Inc.: Cash Flow Statement ($mm)</t>
        </is>
      </c>
    </row>
    <row r="2" ht="30" customHeight="1" s="34">
      <c r="A2" s="37" t="n"/>
      <c r="B2" s="37" t="inlineStr">
        <is>
          <t>FY2022A</t>
        </is>
      </c>
      <c r="C2" s="37" t="inlineStr">
        <is>
          <t>FY2023A</t>
        </is>
      </c>
      <c r="D2" s="37" t="inlineStr">
        <is>
          <t>FY2024A</t>
        </is>
      </c>
      <c r="E2" s="37" t="inlineStr">
        <is>
          <t>FY2025E</t>
        </is>
      </c>
      <c r="F2" s="37" t="inlineStr">
        <is>
          <t>FY2026E</t>
        </is>
      </c>
      <c r="G2" s="37" t="inlineStr">
        <is>
          <t>FY2027E</t>
        </is>
      </c>
      <c r="H2" s="37" t="inlineStr">
        <is>
          <t>FY2028E</t>
        </is>
      </c>
      <c r="I2" s="37" t="inlineStr">
        <is>
          <t>FY2029E</t>
        </is>
      </c>
    </row>
    <row r="3" ht="18" customHeight="1" s="34">
      <c r="A3" s="38" t="inlineStr">
        <is>
          <t xml:space="preserve">  Operating Activities</t>
        </is>
      </c>
    </row>
    <row r="4" ht="15" customHeight="1" s="34">
      <c r="A4" s="39" t="inlineStr">
        <is>
          <t xml:space="preserve">  Net Income</t>
        </is>
      </c>
      <c r="B4" s="44">
        <f>'Income Statement'!B24</f>
        <v/>
      </c>
      <c r="C4" s="44">
        <f>'Income Statement'!C24</f>
        <v/>
      </c>
      <c r="D4" s="44">
        <f>'Income Statement'!D24</f>
        <v/>
      </c>
      <c r="E4" s="44">
        <f>'Income Statement'!E24</f>
        <v/>
      </c>
      <c r="F4" s="44">
        <f>'Income Statement'!F24</f>
        <v/>
      </c>
      <c r="G4" s="44">
        <f>'Income Statement'!G24</f>
        <v/>
      </c>
      <c r="H4" s="44">
        <f>'Income Statement'!H24</f>
        <v/>
      </c>
      <c r="I4" s="44">
        <f>'Income Statement'!I24</f>
        <v/>
      </c>
    </row>
    <row r="5" ht="15" customHeight="1" s="34">
      <c r="A5" s="39" t="inlineStr">
        <is>
          <t xml:space="preserve">  + D&amp;A</t>
        </is>
      </c>
      <c r="B5" s="44">
        <f>'Income Statement'!B16</f>
        <v/>
      </c>
      <c r="C5" s="44">
        <f>'Income Statement'!C16</f>
        <v/>
      </c>
      <c r="D5" s="44">
        <f>'Income Statement'!D16</f>
        <v/>
      </c>
      <c r="E5" s="44">
        <f>'Income Statement'!E16</f>
        <v/>
      </c>
      <c r="F5" s="44">
        <f>'Income Statement'!F16</f>
        <v/>
      </c>
      <c r="G5" s="44">
        <f>'Income Statement'!G16</f>
        <v/>
      </c>
      <c r="H5" s="44">
        <f>'Income Statement'!H16</f>
        <v/>
      </c>
      <c r="I5" s="44">
        <f>'Income Statement'!I16</f>
        <v/>
      </c>
    </row>
    <row r="6" ht="15" customHeight="1" s="34">
      <c r="A6" s="39" t="inlineStr">
        <is>
          <t xml:space="preserve">  Δ Accounts Receivable</t>
        </is>
      </c>
      <c r="B6" s="49" t="n">
        <v>0</v>
      </c>
      <c r="C6" s="44">
        <f>-('Income Statement'!C7/365*Assumptions!C19-'Income Statement'!B7/365*Assumptions!B19)</f>
        <v/>
      </c>
      <c r="D6" s="44">
        <f>-('Income Statement'!D7/365*Assumptions!D19-'Income Statement'!C7/365*Assumptions!C19)</f>
        <v/>
      </c>
      <c r="E6" s="44">
        <f>-('Income Statement'!E7/365*Assumptions!E19-'Income Statement'!D7/365*Assumptions!D19)</f>
        <v/>
      </c>
      <c r="F6" s="44">
        <f>-('Income Statement'!F7/365*Assumptions!F19-'Income Statement'!E7/365*Assumptions!E19)</f>
        <v/>
      </c>
      <c r="G6" s="44">
        <f>-('Income Statement'!G7/365*Assumptions!G19-'Income Statement'!F7/365*Assumptions!F19)</f>
        <v/>
      </c>
      <c r="H6" s="44">
        <f>-('Income Statement'!H7/365*Assumptions!H19-'Income Statement'!G7/365*Assumptions!G19)</f>
        <v/>
      </c>
      <c r="I6" s="44">
        <f>-('Income Statement'!I7/365*Assumptions!I19-'Income Statement'!H7/365*Assumptions!H19)</f>
        <v/>
      </c>
    </row>
    <row r="7" ht="15" customHeight="1" s="34">
      <c r="A7" s="39" t="inlineStr">
        <is>
          <t xml:space="preserve">  Δ Deferred Revenue</t>
        </is>
      </c>
      <c r="B7" s="49" t="n">
        <v>0</v>
      </c>
      <c r="C7" s="44">
        <f>'Income Statement'!C7/365*Assumptions!C21-'Income Statement'!B7/365*Assumptions!B21</f>
        <v/>
      </c>
      <c r="D7" s="44">
        <f>'Income Statement'!D7/365*Assumptions!D21-'Income Statement'!C7/365*Assumptions!C21</f>
        <v/>
      </c>
      <c r="E7" s="44">
        <f>'Income Statement'!E7/365*Assumptions!E21-'Income Statement'!D7/365*Assumptions!D21</f>
        <v/>
      </c>
      <c r="F7" s="44">
        <f>'Income Statement'!F7/365*Assumptions!F21-'Income Statement'!E7/365*Assumptions!E21</f>
        <v/>
      </c>
      <c r="G7" s="44">
        <f>'Income Statement'!G7/365*Assumptions!G21-'Income Statement'!F7/365*Assumptions!F21</f>
        <v/>
      </c>
      <c r="H7" s="44">
        <f>'Income Statement'!H7/365*Assumptions!H21-'Income Statement'!G7/365*Assumptions!G21</f>
        <v/>
      </c>
      <c r="I7" s="44">
        <f>'Income Statement'!I7/365*Assumptions!I21-'Income Statement'!H7/365*Assumptions!H21</f>
        <v/>
      </c>
    </row>
    <row r="8" ht="15" customHeight="1" s="34">
      <c r="A8" s="39" t="inlineStr">
        <is>
          <t xml:space="preserve">  Δ Accounts Payable</t>
        </is>
      </c>
      <c r="B8" s="49" t="n">
        <v>0</v>
      </c>
      <c r="C8" s="44">
        <f>'Income Statement'!C9/365*Assumptions!C20-'Income Statement'!B9/365*Assumptions!B20</f>
        <v/>
      </c>
      <c r="D8" s="44">
        <f>'Income Statement'!D9/365*Assumptions!D20-'Income Statement'!C9/365*Assumptions!C20</f>
        <v/>
      </c>
      <c r="E8" s="44">
        <f>'Income Statement'!E9/365*Assumptions!E20-'Income Statement'!D9/365*Assumptions!D20</f>
        <v/>
      </c>
      <c r="F8" s="44">
        <f>'Income Statement'!F9/365*Assumptions!F20-'Income Statement'!E9/365*Assumptions!E20</f>
        <v/>
      </c>
      <c r="G8" s="44">
        <f>'Income Statement'!G9/365*Assumptions!G20-'Income Statement'!F9/365*Assumptions!F20</f>
        <v/>
      </c>
      <c r="H8" s="44">
        <f>'Income Statement'!H9/365*Assumptions!H20-'Income Statement'!G9/365*Assumptions!G20</f>
        <v/>
      </c>
      <c r="I8" s="44">
        <f>'Income Statement'!I9/365*Assumptions!I20-'Income Statement'!H9/365*Assumptions!H20</f>
        <v/>
      </c>
    </row>
    <row r="9" ht="15" customHeight="1" s="34">
      <c r="A9" s="46" t="inlineStr">
        <is>
          <t>Cash from Operations</t>
        </is>
      </c>
      <c r="B9" s="47">
        <f>SUM(B4:B8)</f>
        <v/>
      </c>
      <c r="C9" s="47">
        <f>SUM(C4:C8)</f>
        <v/>
      </c>
      <c r="D9" s="47">
        <f>SUM(D4:D8)</f>
        <v/>
      </c>
      <c r="E9" s="47">
        <f>SUM(E4:E8)</f>
        <v/>
      </c>
      <c r="F9" s="47">
        <f>SUM(F4:F8)</f>
        <v/>
      </c>
      <c r="G9" s="47">
        <f>SUM(G4:G8)</f>
        <v/>
      </c>
      <c r="H9" s="47">
        <f>SUM(H4:H8)</f>
        <v/>
      </c>
      <c r="I9" s="47">
        <f>SUM(I4:I8)</f>
        <v/>
      </c>
    </row>
    <row r="10" ht="18" customHeight="1" s="34">
      <c r="A10" s="38" t="inlineStr">
        <is>
          <t xml:space="preserve">  Investing Activities</t>
        </is>
      </c>
    </row>
    <row r="11" ht="15" customHeight="1" s="34">
      <c r="A11" s="39" t="inlineStr">
        <is>
          <t xml:space="preserve">  Capital Expenditures</t>
        </is>
      </c>
      <c r="B11" s="44">
        <f>-('Income Statement'!B7*Assumptions!B22)</f>
        <v/>
      </c>
      <c r="C11" s="44">
        <f>-('Income Statement'!C7*Assumptions!C22)</f>
        <v/>
      </c>
      <c r="D11" s="44">
        <f>-('Income Statement'!D7*Assumptions!D22)</f>
        <v/>
      </c>
      <c r="E11" s="44">
        <f>-('Income Statement'!E7*Assumptions!E22)</f>
        <v/>
      </c>
      <c r="F11" s="44">
        <f>-('Income Statement'!F7*Assumptions!F22)</f>
        <v/>
      </c>
      <c r="G11" s="44">
        <f>-('Income Statement'!G7*Assumptions!G22)</f>
        <v/>
      </c>
      <c r="H11" s="44">
        <f>-('Income Statement'!H7*Assumptions!H22)</f>
        <v/>
      </c>
      <c r="I11" s="44">
        <f>-('Income Statement'!I7*Assumptions!I22)</f>
        <v/>
      </c>
    </row>
    <row r="12" ht="15" customHeight="1" s="34">
      <c r="A12" s="46" t="inlineStr">
        <is>
          <t>Cash from Investing</t>
        </is>
      </c>
      <c r="B12" s="47">
        <f>B11</f>
        <v/>
      </c>
      <c r="C12" s="47">
        <f>C11</f>
        <v/>
      </c>
      <c r="D12" s="47">
        <f>D11</f>
        <v/>
      </c>
      <c r="E12" s="47">
        <f>E11</f>
        <v/>
      </c>
      <c r="F12" s="47">
        <f>F11</f>
        <v/>
      </c>
      <c r="G12" s="47">
        <f>G11</f>
        <v/>
      </c>
      <c r="H12" s="47">
        <f>H11</f>
        <v/>
      </c>
      <c r="I12" s="47">
        <f>I11</f>
        <v/>
      </c>
    </row>
    <row r="13" ht="18" customHeight="1" s="34">
      <c r="A13" s="38" t="inlineStr">
        <is>
          <t xml:space="preserve">  Financing Activities</t>
        </is>
      </c>
    </row>
    <row r="14" ht="15" customHeight="1" s="34">
      <c r="A14" s="39" t="inlineStr">
        <is>
          <t xml:space="preserve">  Share Repurchases / Issuances</t>
        </is>
      </c>
      <c r="B14" s="44" t="n">
        <v>0</v>
      </c>
      <c r="C14" s="44" t="n">
        <v>0</v>
      </c>
      <c r="D14" s="44" t="n">
        <v>0</v>
      </c>
      <c r="E14" s="44" t="n">
        <v>0</v>
      </c>
      <c r="F14" s="44" t="n">
        <v>0</v>
      </c>
      <c r="G14" s="44" t="n">
        <v>0</v>
      </c>
      <c r="H14" s="44" t="n">
        <v>0</v>
      </c>
      <c r="I14" s="44" t="n">
        <v>0</v>
      </c>
    </row>
    <row r="15" ht="15" customHeight="1" s="34">
      <c r="A15" s="39" t="inlineStr">
        <is>
          <t xml:space="preserve">  Debt Issuance / (Repayment)</t>
        </is>
      </c>
      <c r="B15" s="44" t="n">
        <v>0</v>
      </c>
      <c r="C15" s="44" t="n">
        <v>0</v>
      </c>
      <c r="D15" s="44" t="n">
        <v>0</v>
      </c>
      <c r="E15" s="44" t="n">
        <v>0</v>
      </c>
      <c r="F15" s="44" t="n">
        <v>0</v>
      </c>
      <c r="G15" s="44" t="n">
        <v>0</v>
      </c>
      <c r="H15" s="44" t="n">
        <v>0</v>
      </c>
      <c r="I15" s="44" t="n">
        <v>0</v>
      </c>
    </row>
    <row r="16" ht="15" customHeight="1" s="34">
      <c r="A16" s="46" t="inlineStr">
        <is>
          <t>Cash from Financing</t>
        </is>
      </c>
      <c r="B16" s="47">
        <f>SUM(B14:B15)</f>
        <v/>
      </c>
      <c r="C16" s="47">
        <f>SUM(C14:C15)</f>
        <v/>
      </c>
      <c r="D16" s="47">
        <f>SUM(D14:D15)</f>
        <v/>
      </c>
      <c r="E16" s="47">
        <f>SUM(E14:E15)</f>
        <v/>
      </c>
      <c r="F16" s="47">
        <f>SUM(F14:F15)</f>
        <v/>
      </c>
      <c r="G16" s="47">
        <f>SUM(G14:G15)</f>
        <v/>
      </c>
      <c r="H16" s="47">
        <f>SUM(H14:H15)</f>
        <v/>
      </c>
      <c r="I16" s="47">
        <f>SUM(I14:I15)</f>
        <v/>
      </c>
    </row>
    <row r="17" ht="15" customHeight="1" s="34">
      <c r="A17" s="46" t="inlineStr">
        <is>
          <t>Net Change in Cash</t>
        </is>
      </c>
      <c r="B17" s="48">
        <f>B9+B12+B16</f>
        <v/>
      </c>
      <c r="C17" s="48">
        <f>C9+C12+C16</f>
        <v/>
      </c>
      <c r="D17" s="48">
        <f>D9+D12+D16</f>
        <v/>
      </c>
      <c r="E17" s="48">
        <f>E9+E12+E16</f>
        <v/>
      </c>
      <c r="F17" s="48">
        <f>F9+F12+F16</f>
        <v/>
      </c>
      <c r="G17" s="48">
        <f>G9+G12+G16</f>
        <v/>
      </c>
      <c r="H17" s="48">
        <f>H9+H12+H16</f>
        <v/>
      </c>
      <c r="I17" s="48">
        <f>I9+I12+I16</f>
        <v/>
      </c>
    </row>
    <row r="18" ht="15" customHeight="1" s="34">
      <c r="A18" s="39" t="inlineStr">
        <is>
          <t>Beginning Cash</t>
        </is>
      </c>
      <c r="B18" s="50" t="n">
        <v>45</v>
      </c>
      <c r="C18" s="44">
        <f>B19</f>
        <v/>
      </c>
      <c r="D18" s="44">
        <f>C19</f>
        <v/>
      </c>
      <c r="E18" s="44">
        <f>D19</f>
        <v/>
      </c>
      <c r="F18" s="44">
        <f>E19</f>
        <v/>
      </c>
      <c r="G18" s="44">
        <f>F19</f>
        <v/>
      </c>
      <c r="H18" s="44">
        <f>G19</f>
        <v/>
      </c>
      <c r="I18" s="44">
        <f>H19</f>
        <v/>
      </c>
    </row>
    <row r="19" ht="15" customHeight="1" s="34">
      <c r="A19" s="46" t="inlineStr">
        <is>
          <t>Ending Cash</t>
        </is>
      </c>
      <c r="B19" s="47">
        <f>B18+B17</f>
        <v/>
      </c>
      <c r="C19" s="47">
        <f>C18+C17</f>
        <v/>
      </c>
      <c r="D19" s="47">
        <f>D18+D17</f>
        <v/>
      </c>
      <c r="E19" s="47">
        <f>E18+E17</f>
        <v/>
      </c>
      <c r="F19" s="47">
        <f>F18+F17</f>
        <v/>
      </c>
      <c r="G19" s="47">
        <f>G18+G17</f>
        <v/>
      </c>
      <c r="H19" s="47">
        <f>H18+H17</f>
        <v/>
      </c>
      <c r="I19" s="47">
        <f>I18+I17</f>
        <v/>
      </c>
    </row>
    <row r="20" ht="15" customHeight="1" s="34">
      <c r="A20" s="46" t="inlineStr">
        <is>
          <t>Free Cash Flow</t>
        </is>
      </c>
      <c r="B20" s="48">
        <f>B9+B11</f>
        <v/>
      </c>
      <c r="C20" s="48">
        <f>C9+C11</f>
        <v/>
      </c>
      <c r="D20" s="48">
        <f>D9+D11</f>
        <v/>
      </c>
      <c r="E20" s="48">
        <f>E9+E11</f>
        <v/>
      </c>
      <c r="F20" s="48">
        <f>F9+F11</f>
        <v/>
      </c>
      <c r="G20" s="48">
        <f>G9+G11</f>
        <v/>
      </c>
      <c r="H20" s="48">
        <f>H9+H11</f>
        <v/>
      </c>
      <c r="I20" s="48">
        <f>I9+I11</f>
        <v/>
      </c>
    </row>
    <row r="21" ht="15" customHeight="1" s="34">
      <c r="A21" s="39" t="inlineStr">
        <is>
          <t xml:space="preserve">  FCF Margin %</t>
        </is>
      </c>
      <c r="B21" s="43">
        <f>IFERROR(B20/'Income Statement'!B7,0)</f>
        <v/>
      </c>
      <c r="C21" s="43">
        <f>IFERROR(C20/'Income Statement'!C7,0)</f>
        <v/>
      </c>
      <c r="D21" s="43">
        <f>IFERROR(D20/'Income Statement'!D7,0)</f>
        <v/>
      </c>
      <c r="E21" s="43">
        <f>IFERROR(E20/'Income Statement'!E7,0)</f>
        <v/>
      </c>
      <c r="F21" s="43">
        <f>IFERROR(F20/'Income Statement'!F7,0)</f>
        <v/>
      </c>
      <c r="G21" s="43">
        <f>IFERROR(G20/'Income Statement'!G7,0)</f>
        <v/>
      </c>
      <c r="H21" s="43">
        <f>IFERROR(H20/'Income Statement'!H7,0)</f>
        <v/>
      </c>
      <c r="I21" s="43">
        <f>IFERROR(I20/'Income Statement'!I7,0)</f>
        <v/>
      </c>
    </row>
  </sheetData>
  <mergeCells count="4">
    <mergeCell ref="A1:I1"/>
    <mergeCell ref="A13:I13"/>
    <mergeCell ref="A3:I3"/>
    <mergeCell ref="A10:I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70AD47"/>
    <outlinePr summaryBelow="1" summaryRight="1"/>
    <pageSetUpPr fitToPage="0"/>
  </sheetPr>
  <dimension ref="A1:I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32" customWidth="1" style="33" min="1" max="1"/>
    <col width="13" customWidth="1" style="33" min="2" max="7"/>
    <col width="22" customWidth="1" style="33" min="8" max="9"/>
  </cols>
  <sheetData>
    <row r="1" ht="21.75" customHeight="1" s="34">
      <c r="A1" s="35" t="inlineStr">
        <is>
          <t xml:space="preserve">  NovaSaaS Inc.: DCF Valuation</t>
        </is>
      </c>
    </row>
    <row r="2" ht="30" customHeight="1" s="34">
      <c r="A2" s="37" t="n"/>
      <c r="B2" s="37" t="inlineStr">
        <is>
          <t>FY2025E</t>
        </is>
      </c>
      <c r="C2" s="37" t="inlineStr">
        <is>
          <t>FY2026E</t>
        </is>
      </c>
      <c r="D2" s="37" t="inlineStr">
        <is>
          <t>FY2027E</t>
        </is>
      </c>
      <c r="E2" s="37" t="inlineStr">
        <is>
          <t>FY2028E</t>
        </is>
      </c>
      <c r="F2" s="37" t="inlineStr">
        <is>
          <t>FY2029E</t>
        </is>
      </c>
    </row>
    <row r="3" ht="18" customHeight="1" s="34">
      <c r="A3" s="38" t="inlineStr">
        <is>
          <t xml:space="preserve">  Free Cash Flow Projections</t>
        </is>
      </c>
    </row>
    <row r="4" ht="15" customHeight="1" s="34">
      <c r="A4" s="39" t="inlineStr">
        <is>
          <t xml:space="preserve">  Free Cash Flow ($mm)</t>
        </is>
      </c>
      <c r="B4" s="44">
        <f>'Cash Flow Statement'!B20</f>
        <v/>
      </c>
      <c r="C4" s="44">
        <f>'Cash Flow Statement'!C20</f>
        <v/>
      </c>
      <c r="D4" s="44">
        <f>'Cash Flow Statement'!D20</f>
        <v/>
      </c>
      <c r="E4" s="44">
        <f>'Cash Flow Statement'!E20</f>
        <v/>
      </c>
      <c r="F4" s="44">
        <f>'Cash Flow Statement'!F20</f>
        <v/>
      </c>
    </row>
    <row r="5" ht="15" customHeight="1" s="34">
      <c r="A5" s="39" t="inlineStr">
        <is>
          <t xml:space="preserve">  Discount Period</t>
        </is>
      </c>
      <c r="B5" s="51" t="n">
        <v>1</v>
      </c>
      <c r="C5" s="51" t="n">
        <v>2</v>
      </c>
      <c r="D5" s="51" t="n">
        <v>3</v>
      </c>
      <c r="E5" s="51" t="n">
        <v>4</v>
      </c>
      <c r="F5" s="51" t="n">
        <v>5</v>
      </c>
    </row>
    <row r="6" ht="15" customHeight="1" s="34">
      <c r="A6" s="39" t="inlineStr">
        <is>
          <t xml:space="preserve">  Discount Factor</t>
        </is>
      </c>
      <c r="B6" s="52">
        <f>1/(1+Assumptions!B24)^1</f>
        <v/>
      </c>
      <c r="C6" s="52">
        <f>1/(1+Assumptions!B24)^2</f>
        <v/>
      </c>
      <c r="D6" s="52">
        <f>1/(1+Assumptions!B24)^3</f>
        <v/>
      </c>
      <c r="E6" s="52">
        <f>1/(1+Assumptions!B24)^4</f>
        <v/>
      </c>
      <c r="F6" s="52">
        <f>1/(1+Assumptions!B24)^5</f>
        <v/>
      </c>
    </row>
    <row r="7" ht="15" customHeight="1" s="34">
      <c r="A7" s="39" t="inlineStr">
        <is>
          <t xml:space="preserve">  PV of FCF</t>
        </is>
      </c>
      <c r="B7" s="44">
        <f>B4*B6</f>
        <v/>
      </c>
      <c r="C7" s="44">
        <f>C4*C6</f>
        <v/>
      </c>
      <c r="D7" s="44">
        <f>D4*D6</f>
        <v/>
      </c>
      <c r="E7" s="44">
        <f>E4*E6</f>
        <v/>
      </c>
      <c r="F7" s="44">
        <f>F4*F6</f>
        <v/>
      </c>
    </row>
    <row r="8" ht="18" customHeight="1" s="34">
      <c r="A8" s="38" t="inlineStr">
        <is>
          <t xml:space="preserve">  Terminal Value</t>
        </is>
      </c>
    </row>
    <row r="9" ht="15" customHeight="1" s="34">
      <c r="A9" s="39" t="inlineStr">
        <is>
          <t xml:space="preserve">  Terminal Year FCF ($mm)</t>
        </is>
      </c>
      <c r="B9" s="44">
        <f>'Cash Flow Statement'!F20</f>
        <v/>
      </c>
    </row>
    <row r="10" ht="15" customHeight="1" s="34">
      <c r="A10" s="39" t="inlineStr">
        <is>
          <t xml:space="preserve">  Terminal Value (Gordon Growth)</t>
        </is>
      </c>
      <c r="B10" s="44">
        <f>B9*(1+Assumptions!B25)/(Assumptions!B24-Assumptions!B25)</f>
        <v/>
      </c>
    </row>
    <row r="11" ht="15" customHeight="1" s="34">
      <c r="A11" s="39" t="inlineStr">
        <is>
          <t xml:space="preserve">  PV of Terminal Value</t>
        </is>
      </c>
      <c r="B11" s="44">
        <f>B10/(1+Assumptions!B24)^5</f>
        <v/>
      </c>
    </row>
    <row r="12" ht="18" customHeight="1" s="34">
      <c r="A12" s="38" t="inlineStr">
        <is>
          <t xml:space="preserve">  Enterprise Value Bridge</t>
        </is>
      </c>
    </row>
    <row r="13" ht="15" customHeight="1" s="34">
      <c r="A13" s="39" t="inlineStr">
        <is>
          <t xml:space="preserve">  PV of FCFs ($mm)</t>
        </is>
      </c>
      <c r="B13" s="44">
        <f>SUM(B7:F7)</f>
        <v/>
      </c>
    </row>
    <row r="14" ht="15" customHeight="1" s="34">
      <c r="A14" s="39" t="inlineStr">
        <is>
          <t xml:space="preserve">  PV of Terminal Value ($mm)</t>
        </is>
      </c>
      <c r="B14" s="44">
        <f>B11</f>
        <v/>
      </c>
    </row>
    <row r="15" ht="15" customHeight="1" s="34">
      <c r="A15" s="46" t="inlineStr">
        <is>
          <t>Enterprise Value ($mm)</t>
        </is>
      </c>
      <c r="B15" s="47">
        <f>B13+B14</f>
        <v/>
      </c>
    </row>
    <row r="16" ht="15" customHeight="1" s="34">
      <c r="A16" s="39" t="inlineStr">
        <is>
          <t xml:space="preserve">  Less: Net Debt / (+Cash) ($mm)</t>
        </is>
      </c>
      <c r="B16" s="44">
        <f>-Assumptions!B26</f>
        <v/>
      </c>
    </row>
    <row r="17" ht="15" customHeight="1" s="34">
      <c r="A17" s="46" t="inlineStr">
        <is>
          <t>Equity Value ($mm)</t>
        </is>
      </c>
      <c r="B17" s="47">
        <f>B15+B16</f>
        <v/>
      </c>
    </row>
    <row r="18" ht="15" customHeight="1" s="34">
      <c r="A18" s="39" t="inlineStr">
        <is>
          <t>Diluted Shares Outstanding (mm)</t>
        </is>
      </c>
      <c r="B18" s="44">
        <f>Assumptions!B27</f>
        <v/>
      </c>
    </row>
    <row r="19" ht="19.5" customHeight="1" s="34">
      <c r="A19" s="46" t="inlineStr">
        <is>
          <t>Implied Share Price</t>
        </is>
      </c>
      <c r="B19" s="53">
        <f>IFERROR(B17/B18,0)</f>
        <v/>
      </c>
    </row>
    <row r="20"/>
    <row r="21" ht="18" customHeight="1" s="34">
      <c r="A21" s="38" t="inlineStr">
        <is>
          <t xml:space="preserve">  Sensitivity Analysis: Implied Share Price</t>
        </is>
      </c>
    </row>
    <row r="22" ht="15" customHeight="1" s="34">
      <c r="A22" s="54" t="inlineStr">
        <is>
          <t>WACC →</t>
        </is>
      </c>
      <c r="B22" s="55" t="inlineStr">
        <is>
          <t>TGR ↓ \ WACC →</t>
        </is>
      </c>
      <c r="C22" s="55" t="inlineStr">
        <is>
          <t>8%</t>
        </is>
      </c>
      <c r="D22" s="55" t="inlineStr">
        <is>
          <t>9%</t>
        </is>
      </c>
      <c r="E22" s="55" t="inlineStr">
        <is>
          <t>10%</t>
        </is>
      </c>
      <c r="F22" s="55" t="inlineStr">
        <is>
          <t>11%</t>
        </is>
      </c>
      <c r="G22" s="55" t="inlineStr">
        <is>
          <t>12%</t>
        </is>
      </c>
    </row>
    <row r="23" ht="15" customHeight="1" s="34">
      <c r="B23" s="55" t="inlineStr">
        <is>
          <t>2.0%</t>
        </is>
      </c>
      <c r="C23" s="56">
        <f>IFERROR((('Cash Flow Statement'!E20*(1+0.02)/(0.08-0.02)/(1+0.08)^5)+SUMPRODUCT('Cash Flow Statement'!B20:F20,1/(1+0.08)^{1,2,3,4,5})-Assumptions!B26)/Assumptions!B27,0)</f>
        <v/>
      </c>
      <c r="D23" s="56">
        <f>IFERROR((('Cash Flow Statement'!E20*(1+0.02)/(0.09-0.02)/(1+0.09)^5)+SUMPRODUCT('Cash Flow Statement'!B20:F20,1/(1+0.09)^{1,2,3,4,5})-Assumptions!B26)/Assumptions!B27,0)</f>
        <v/>
      </c>
      <c r="E23" s="56">
        <f>IFERROR((('Cash Flow Statement'!E20*(1+0.02)/(0.1-0.02)/(1+0.1)^5)+SUMPRODUCT('Cash Flow Statement'!B20:F20,1/(1+0.1)^{1,2,3,4,5})-Assumptions!B26)/Assumptions!B27,0)</f>
        <v/>
      </c>
      <c r="F23" s="56">
        <f>IFERROR((('Cash Flow Statement'!E20*(1+0.02)/(0.11-0.02)/(1+0.11)^5)+SUMPRODUCT('Cash Flow Statement'!B20:F20,1/(1+0.11)^{1,2,3,4,5})-Assumptions!B26)/Assumptions!B27,0)</f>
        <v/>
      </c>
      <c r="G23" s="56">
        <f>IFERROR((('Cash Flow Statement'!E20*(1+0.02)/(0.12-0.02)/(1+0.12)^5)+SUMPRODUCT('Cash Flow Statement'!B20:F20,1/(1+0.12)^{1,2,3,4,5})-Assumptions!B26)/Assumptions!B27,0)</f>
        <v/>
      </c>
    </row>
    <row r="24" ht="15" customHeight="1" s="34">
      <c r="B24" s="55" t="inlineStr">
        <is>
          <t>2.5%</t>
        </is>
      </c>
      <c r="C24" s="56">
        <f>IFERROR((('Cash Flow Statement'!E20*(1+0.025)/(0.08-0.025)/(1+0.08)^5)+SUMPRODUCT('Cash Flow Statement'!B20:F20,1/(1+0.08)^{1,2,3,4,5})-Assumptions!B26)/Assumptions!B27,0)</f>
        <v/>
      </c>
      <c r="D24" s="56">
        <f>IFERROR((('Cash Flow Statement'!E20*(1+0.025)/(0.09-0.025)/(1+0.09)^5)+SUMPRODUCT('Cash Flow Statement'!B20:F20,1/(1+0.09)^{1,2,3,4,5})-Assumptions!B26)/Assumptions!B27,0)</f>
        <v/>
      </c>
      <c r="E24" s="56">
        <f>IFERROR((('Cash Flow Statement'!E20*(1+0.025)/(0.1-0.025)/(1+0.1)^5)+SUMPRODUCT('Cash Flow Statement'!B20:F20,1/(1+0.1)^{1,2,3,4,5})-Assumptions!B26)/Assumptions!B27,0)</f>
        <v/>
      </c>
      <c r="F24" s="56">
        <f>IFERROR((('Cash Flow Statement'!E20*(1+0.025)/(0.11-0.025)/(1+0.11)^5)+SUMPRODUCT('Cash Flow Statement'!B20:F20,1/(1+0.11)^{1,2,3,4,5})-Assumptions!B26)/Assumptions!B27,0)</f>
        <v/>
      </c>
      <c r="G24" s="56">
        <f>IFERROR((('Cash Flow Statement'!E20*(1+0.025)/(0.12-0.025)/(1+0.12)^5)+SUMPRODUCT('Cash Flow Statement'!B20:F20,1/(1+0.12)^{1,2,3,4,5})-Assumptions!B26)/Assumptions!B27,0)</f>
        <v/>
      </c>
    </row>
    <row r="25" ht="15" customHeight="1" s="34">
      <c r="B25" s="55" t="inlineStr">
        <is>
          <t>3.0%</t>
        </is>
      </c>
      <c r="C25" s="56">
        <f>IFERROR((('Cash Flow Statement'!E20*(1+0.03)/(0.08-0.03)/(1+0.08)^5)+SUMPRODUCT('Cash Flow Statement'!B20:F20,1/(1+0.08)^{1,2,3,4,5})-Assumptions!B26)/Assumptions!B27,0)</f>
        <v/>
      </c>
      <c r="D25" s="56">
        <f>IFERROR((('Cash Flow Statement'!E20*(1+0.03)/(0.09-0.03)/(1+0.09)^5)+SUMPRODUCT('Cash Flow Statement'!B20:F20,1/(1+0.09)^{1,2,3,4,5})-Assumptions!B26)/Assumptions!B27,0)</f>
        <v/>
      </c>
      <c r="E25" s="57">
        <f>IFERROR((('Cash Flow Statement'!E20*(1+0.03)/(0.1-0.03)/(1+0.1)^5)+SUMPRODUCT('Cash Flow Statement'!B20:F20,1/(1+0.1)^{1,2,3,4,5})-Assumptions!B26)/Assumptions!B27,0)</f>
        <v/>
      </c>
      <c r="F25" s="56">
        <f>IFERROR((('Cash Flow Statement'!E20*(1+0.03)/(0.11-0.03)/(1+0.11)^5)+SUMPRODUCT('Cash Flow Statement'!B20:F20,1/(1+0.11)^{1,2,3,4,5})-Assumptions!B26)/Assumptions!B27,0)</f>
        <v/>
      </c>
      <c r="G25" s="56">
        <f>IFERROR((('Cash Flow Statement'!E20*(1+0.03)/(0.12-0.03)/(1+0.12)^5)+SUMPRODUCT('Cash Flow Statement'!B20:F20,1/(1+0.12)^{1,2,3,4,5})-Assumptions!B26)/Assumptions!B27,0)</f>
        <v/>
      </c>
    </row>
    <row r="26" ht="15" customHeight="1" s="34">
      <c r="B26" s="55" t="inlineStr">
        <is>
          <t>3.5%</t>
        </is>
      </c>
      <c r="C26" s="56">
        <f>IFERROR((('Cash Flow Statement'!E20*(1+0.035)/(0.08-0.035)/(1+0.08)^5)+SUMPRODUCT('Cash Flow Statement'!B20:F20,1/(1+0.08)^{1,2,3,4,5})-Assumptions!B26)/Assumptions!B27,0)</f>
        <v/>
      </c>
      <c r="D26" s="56">
        <f>IFERROR((('Cash Flow Statement'!E20*(1+0.035)/(0.09-0.035)/(1+0.09)^5)+SUMPRODUCT('Cash Flow Statement'!B20:F20,1/(1+0.09)^{1,2,3,4,5})-Assumptions!B26)/Assumptions!B27,0)</f>
        <v/>
      </c>
      <c r="E26" s="56">
        <f>IFERROR((('Cash Flow Statement'!E20*(1+0.035)/(0.1-0.035)/(1+0.1)^5)+SUMPRODUCT('Cash Flow Statement'!B20:F20,1/(1+0.1)^{1,2,3,4,5})-Assumptions!B26)/Assumptions!B27,0)</f>
        <v/>
      </c>
      <c r="F26" s="56">
        <f>IFERROR((('Cash Flow Statement'!E20*(1+0.035)/(0.11-0.035)/(1+0.11)^5)+SUMPRODUCT('Cash Flow Statement'!B20:F20,1/(1+0.11)^{1,2,3,4,5})-Assumptions!B26)/Assumptions!B27,0)</f>
        <v/>
      </c>
      <c r="G26" s="56">
        <f>IFERROR((('Cash Flow Statement'!E20*(1+0.035)/(0.12-0.035)/(1+0.12)^5)+SUMPRODUCT('Cash Flow Statement'!B20:F20,1/(1+0.12)^{1,2,3,4,5})-Assumptions!B26)/Assumptions!B27,0)</f>
        <v/>
      </c>
    </row>
    <row r="27" ht="15" customHeight="1" s="34">
      <c r="B27" s="55" t="inlineStr">
        <is>
          <t>4.0%</t>
        </is>
      </c>
      <c r="C27" s="56">
        <f>IFERROR((('Cash Flow Statement'!E20*(1+0.04)/(0.08-0.04)/(1+0.08)^5)+SUMPRODUCT('Cash Flow Statement'!B20:F20,1/(1+0.08)^{1,2,3,4,5})-Assumptions!B26)/Assumptions!B27,0)</f>
        <v/>
      </c>
      <c r="D27" s="56">
        <f>IFERROR((('Cash Flow Statement'!E20*(1+0.04)/(0.09-0.04)/(1+0.09)^5)+SUMPRODUCT('Cash Flow Statement'!B20:F20,1/(1+0.09)^{1,2,3,4,5})-Assumptions!B26)/Assumptions!B27,0)</f>
        <v/>
      </c>
      <c r="E27" s="56">
        <f>IFERROR((('Cash Flow Statement'!E20*(1+0.04)/(0.1-0.04)/(1+0.1)^5)+SUMPRODUCT('Cash Flow Statement'!B20:F20,1/(1+0.1)^{1,2,3,4,5})-Assumptions!B26)/Assumptions!B27,0)</f>
        <v/>
      </c>
      <c r="F27" s="56">
        <f>IFERROR((('Cash Flow Statement'!E20*(1+0.04)/(0.11-0.04)/(1+0.11)^5)+SUMPRODUCT('Cash Flow Statement'!B20:F20,1/(1+0.11)^{1,2,3,4,5})-Assumptions!B26)/Assumptions!B27,0)</f>
        <v/>
      </c>
      <c r="G27" s="56">
        <f>IFERROR((('Cash Flow Statement'!E20*(1+0.04)/(0.12-0.04)/(1+0.12)^5)+SUMPRODUCT('Cash Flow Statement'!B20:F20,1/(1+0.12)^{1,2,3,4,5})-Assumptions!B26)/Assumptions!B27,0)</f>
        <v/>
      </c>
    </row>
    <row r="28" ht="15" customHeight="1" s="34">
      <c r="A28" s="36" t="inlineStr">
        <is>
          <t>Yellow cell = base case (WACC=10%, TGR=3%)</t>
        </is>
      </c>
    </row>
  </sheetData>
  <mergeCells count="5">
    <mergeCell ref="A1:I1"/>
    <mergeCell ref="A8:I8"/>
    <mergeCell ref="A3:I3"/>
    <mergeCell ref="A12:I12"/>
    <mergeCell ref="A21:I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33" min="1" max="1"/>
    <col width="18" customWidth="1" style="33" min="2" max="4"/>
  </cols>
  <sheetData>
    <row r="1" ht="21.75" customHeight="1" s="34">
      <c r="A1" s="35" t="inlineStr">
        <is>
          <t xml:space="preserve">  Scenario Analysis: Revenue &amp; EBITDA Bridge</t>
        </is>
      </c>
    </row>
    <row r="2" ht="30" customHeight="1" s="34">
      <c r="A2" s="37" t="inlineStr">
        <is>
          <t>Metric</t>
        </is>
      </c>
      <c r="B2" s="37" t="inlineStr">
        <is>
          <t>Bear Case</t>
        </is>
      </c>
      <c r="C2" s="37" t="inlineStr">
        <is>
          <t>Base Case</t>
        </is>
      </c>
      <c r="D2" s="37" t="inlineStr">
        <is>
          <t>Bull Case</t>
        </is>
      </c>
    </row>
    <row r="3" ht="15" customHeight="1" s="34">
      <c r="A3" s="39" t="inlineStr">
        <is>
          <t>ARR Growth Rate (FY2025E)</t>
        </is>
      </c>
      <c r="B3" s="58" t="inlineStr">
        <is>
          <t>20%</t>
        </is>
      </c>
      <c r="C3" s="59" t="inlineStr">
        <is>
          <t>30%</t>
        </is>
      </c>
      <c r="D3" s="60" t="inlineStr">
        <is>
          <t>42%</t>
        </is>
      </c>
    </row>
    <row r="4" ht="15" customHeight="1" s="34">
      <c r="A4" s="39" t="inlineStr">
        <is>
          <t>Gross Margin (FY2025E)</t>
        </is>
      </c>
      <c r="B4" s="58" t="inlineStr">
        <is>
          <t>70%</t>
        </is>
      </c>
      <c r="C4" s="59" t="inlineStr">
        <is>
          <t>73%</t>
        </is>
      </c>
      <c r="D4" s="60" t="inlineStr">
        <is>
          <t>76%</t>
        </is>
      </c>
    </row>
    <row r="5" ht="15" customHeight="1" s="34">
      <c r="A5" s="39" t="inlineStr">
        <is>
          <t>EBITDA Margin (FY2025E)</t>
        </is>
      </c>
      <c r="B5" s="58" t="inlineStr">
        <is>
          <t>-5%</t>
        </is>
      </c>
      <c r="C5" s="59" t="inlineStr">
        <is>
          <t>5%</t>
        </is>
      </c>
      <c r="D5" s="60" t="inlineStr">
        <is>
          <t>14%</t>
        </is>
      </c>
    </row>
    <row r="6" ht="15" customHeight="1" s="34">
      <c r="A6" s="46" t="inlineStr">
        <is>
          <t>FY2025E Revenue ($mm)</t>
        </is>
      </c>
      <c r="B6" s="61" t="inlineStr">
        <is>
          <t>$280</t>
        </is>
      </c>
      <c r="C6" s="62" t="inlineStr">
        <is>
          <t>$304</t>
        </is>
      </c>
      <c r="D6" s="63" t="inlineStr">
        <is>
          <t>$336</t>
        </is>
      </c>
    </row>
    <row r="7" ht="15" customHeight="1" s="34">
      <c r="A7" s="46" t="inlineStr">
        <is>
          <t>FY2025E EBITDA ($mm)</t>
        </is>
      </c>
      <c r="B7" s="61" t="inlineStr">
        <is>
          <t>($14)</t>
        </is>
      </c>
      <c r="C7" s="62" t="inlineStr">
        <is>
          <t>$15</t>
        </is>
      </c>
      <c r="D7" s="63" t="inlineStr">
        <is>
          <t>$47</t>
        </is>
      </c>
    </row>
    <row r="8" ht="15" customHeight="1" s="34">
      <c r="A8" s="39" t="inlineStr">
        <is>
          <t>Implied EV / Revenue</t>
        </is>
      </c>
      <c r="B8" s="58" t="inlineStr">
        <is>
          <t>4.0x</t>
        </is>
      </c>
      <c r="C8" s="59" t="inlineStr">
        <is>
          <t>6.0x</t>
        </is>
      </c>
      <c r="D8" s="60" t="inlineStr">
        <is>
          <t>9.0x</t>
        </is>
      </c>
    </row>
    <row r="9" ht="15" customHeight="1" s="34">
      <c r="A9" s="46" t="inlineStr">
        <is>
          <t>Implied Share Price</t>
        </is>
      </c>
      <c r="B9" s="61" t="inlineStr">
        <is>
          <t>$8.00</t>
        </is>
      </c>
      <c r="C9" s="62" t="inlineStr">
        <is>
          <t>$16.50</t>
        </is>
      </c>
      <c r="D9" s="63" t="inlineStr">
        <is>
          <t>$28.00</t>
        </is>
      </c>
    </row>
    <row r="10"/>
    <row r="11" ht="15" customHeight="1" s="34">
      <c r="A11" s="64" t="inlineStr">
        <is>
          <t>Key Assumptions per Scenario:</t>
        </is>
      </c>
    </row>
    <row r="12" ht="15" customHeight="1" s="34">
      <c r="A12" s="65" t="inlineStr">
        <is>
          <t>BEAR: Macro headwinds, elevated churn, elongated sales cycles, margin compression from competition.</t>
        </is>
      </c>
    </row>
    <row r="13" ht="15" customHeight="1" s="34">
      <c r="A13" s="65" t="inlineStr">
        <is>
          <t>BASE: Steady ARR growth, gradual margin expansion, retention at ~115% NRR.</t>
        </is>
      </c>
    </row>
    <row r="14" ht="15" customHeight="1" s="34">
      <c r="A14" s="65" t="inlineStr">
        <is>
          <t>BULL: Accelerated enterprise adoption, product-led growth, strong upsell driving NRR &gt;125%.</t>
        </is>
      </c>
    </row>
  </sheetData>
  <mergeCells count="4">
    <mergeCell ref="A1:D1"/>
    <mergeCell ref="A12:D12"/>
    <mergeCell ref="A13:D13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2026-03-16T23:47:08Z</dcterms:created>
  <dcterms:modified xmlns:dcterms="http://purl.org/dc/terms/" xmlns:xsi="http://www.w3.org/2001/XMLSchema-instance" xsi:type="dcterms:W3CDTF">2026-03-25T21:54:07Z</dcterms:modified>
  <cp:revision>0</cp:revision>
</cp:coreProperties>
</file>