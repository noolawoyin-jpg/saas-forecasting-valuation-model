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nelsonolawoyin/Downloads/"/>
    </mc:Choice>
  </mc:AlternateContent>
  <xr:revisionPtr revIDLastSave="0" documentId="8_{7B4F95CE-52CF-514D-B6FA-6642DCD6BFC6}" xr6:coauthVersionLast="47" xr6:coauthVersionMax="47" xr10:uidLastSave="{00000000-0000-0000-0000-000000000000}"/>
  <bookViews>
    <workbookView xWindow="0" yWindow="740" windowWidth="22620" windowHeight="15840" tabRatio="500" xr2:uid="{00000000-000D-0000-FFFF-FFFF00000000}"/>
  </bookViews>
  <sheets>
    <sheet name="Assumptions" sheetId="1" r:id="rId1"/>
    <sheet name="Income Statement" sheetId="2" r:id="rId2"/>
    <sheet name="Cash Flow Statement" sheetId="3" r:id="rId3"/>
    <sheet name="DCF Valuation" sheetId="4" r:id="rId4"/>
    <sheet name="Scenario Analysi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" i="5" l="1"/>
  <c r="D9" i="5" s="1"/>
  <c r="C6" i="5"/>
  <c r="B6" i="5"/>
  <c r="B9" i="5" s="1"/>
  <c r="B18" i="4"/>
  <c r="B16" i="4"/>
  <c r="F6" i="4"/>
  <c r="E6" i="4"/>
  <c r="D6" i="4"/>
  <c r="C6" i="4"/>
  <c r="B6" i="4"/>
  <c r="I16" i="3"/>
  <c r="H16" i="3"/>
  <c r="G16" i="3"/>
  <c r="F16" i="3"/>
  <c r="E16" i="3"/>
  <c r="D16" i="3"/>
  <c r="C16" i="3"/>
  <c r="B16" i="3"/>
  <c r="D11" i="3"/>
  <c r="D12" i="3" s="1"/>
  <c r="C11" i="3"/>
  <c r="C12" i="3" s="1"/>
  <c r="B11" i="3"/>
  <c r="B12" i="3" s="1"/>
  <c r="D7" i="3"/>
  <c r="C7" i="3"/>
  <c r="D6" i="3"/>
  <c r="C6" i="3"/>
  <c r="B14" i="2"/>
  <c r="D7" i="2"/>
  <c r="D16" i="2" s="1"/>
  <c r="D5" i="3" s="1"/>
  <c r="C7" i="2"/>
  <c r="C16" i="2" s="1"/>
  <c r="C5" i="3" s="1"/>
  <c r="B7" i="2"/>
  <c r="C29" i="2" s="1"/>
  <c r="E5" i="2"/>
  <c r="E7" i="2" s="1"/>
  <c r="E11" i="3" s="1"/>
  <c r="E12" i="3" s="1"/>
  <c r="E8" i="1"/>
  <c r="E10" i="1" s="1"/>
  <c r="E6" i="2" s="1"/>
  <c r="C9" i="5" l="1"/>
  <c r="C7" i="5"/>
  <c r="E16" i="2"/>
  <c r="E5" i="3" s="1"/>
  <c r="E15" i="2"/>
  <c r="E14" i="2"/>
  <c r="E13" i="2"/>
  <c r="E17" i="2" s="1"/>
  <c r="E9" i="2"/>
  <c r="E6" i="3"/>
  <c r="E7" i="3"/>
  <c r="E29" i="2"/>
  <c r="F8" i="1"/>
  <c r="B7" i="5"/>
  <c r="C9" i="2"/>
  <c r="C13" i="2"/>
  <c r="C15" i="2"/>
  <c r="D29" i="2"/>
  <c r="D9" i="2"/>
  <c r="D8" i="3" s="1"/>
  <c r="D13" i="2"/>
  <c r="D14" i="2"/>
  <c r="D15" i="2"/>
  <c r="D7" i="5"/>
  <c r="B9" i="2"/>
  <c r="B10" i="2"/>
  <c r="B13" i="2"/>
  <c r="B17" i="2" s="1"/>
  <c r="B15" i="2"/>
  <c r="B16" i="2"/>
  <c r="B5" i="3" s="1"/>
  <c r="C14" i="2"/>
  <c r="B18" i="2" l="1"/>
  <c r="B11" i="2"/>
  <c r="E8" i="3"/>
  <c r="C17" i="2"/>
  <c r="E10" i="2"/>
  <c r="C8" i="3"/>
  <c r="C10" i="2"/>
  <c r="D17" i="2"/>
  <c r="F10" i="1"/>
  <c r="G8" i="1"/>
  <c r="D10" i="2"/>
  <c r="F6" i="2" l="1"/>
  <c r="F5" i="2"/>
  <c r="B27" i="2"/>
  <c r="B28" i="2" s="1"/>
  <c r="B22" i="2"/>
  <c r="B19" i="2"/>
  <c r="C18" i="2"/>
  <c r="C11" i="2"/>
  <c r="E18" i="2"/>
  <c r="E11" i="2"/>
  <c r="D18" i="2"/>
  <c r="D11" i="2"/>
  <c r="G10" i="1"/>
  <c r="H8" i="1"/>
  <c r="E27" i="2" l="1"/>
  <c r="E28" i="2" s="1"/>
  <c r="E22" i="2"/>
  <c r="E19" i="2"/>
  <c r="C27" i="2"/>
  <c r="C28" i="2" s="1"/>
  <c r="C22" i="2"/>
  <c r="C19" i="2"/>
  <c r="I8" i="1"/>
  <c r="I10" i="1" s="1"/>
  <c r="H10" i="1"/>
  <c r="G5" i="2"/>
  <c r="G6" i="2"/>
  <c r="B24" i="2"/>
  <c r="B23" i="2"/>
  <c r="D27" i="2"/>
  <c r="D28" i="2" s="1"/>
  <c r="D22" i="2"/>
  <c r="D19" i="2"/>
  <c r="F7" i="2"/>
  <c r="B25" i="2" l="1"/>
  <c r="B4" i="3"/>
  <c r="B9" i="3" s="1"/>
  <c r="E23" i="2"/>
  <c r="E24" i="2" s="1"/>
  <c r="G7" i="2"/>
  <c r="F29" i="2"/>
  <c r="F6" i="3"/>
  <c r="F7" i="3"/>
  <c r="F11" i="3"/>
  <c r="F12" i="3" s="1"/>
  <c r="F9" i="2"/>
  <c r="F8" i="3" s="1"/>
  <c r="F10" i="2"/>
  <c r="F16" i="2"/>
  <c r="F5" i="3" s="1"/>
  <c r="F15" i="2"/>
  <c r="F13" i="2"/>
  <c r="F14" i="2"/>
  <c r="H5" i="2"/>
  <c r="H6" i="2"/>
  <c r="I5" i="2"/>
  <c r="I6" i="2"/>
  <c r="D23" i="2"/>
  <c r="D24" i="2" s="1"/>
  <c r="C23" i="2"/>
  <c r="C24" i="2" s="1"/>
  <c r="C4" i="3" l="1"/>
  <c r="C9" i="3" s="1"/>
  <c r="C25" i="2"/>
  <c r="D4" i="3"/>
  <c r="D9" i="3" s="1"/>
  <c r="D25" i="2"/>
  <c r="E25" i="2"/>
  <c r="E4" i="3"/>
  <c r="E9" i="3" s="1"/>
  <c r="H7" i="2"/>
  <c r="F17" i="2"/>
  <c r="F18" i="2" s="1"/>
  <c r="G6" i="3"/>
  <c r="G11" i="3"/>
  <c r="G12" i="3" s="1"/>
  <c r="G7" i="3"/>
  <c r="G15" i="2"/>
  <c r="G10" i="2"/>
  <c r="G14" i="2"/>
  <c r="G13" i="2"/>
  <c r="G16" i="2"/>
  <c r="G5" i="3" s="1"/>
  <c r="G9" i="2"/>
  <c r="G8" i="3" s="1"/>
  <c r="G29" i="2"/>
  <c r="F11" i="2"/>
  <c r="I7" i="2"/>
  <c r="B17" i="3"/>
  <c r="B19" i="3" s="1"/>
  <c r="C18" i="3" s="1"/>
  <c r="B20" i="3"/>
  <c r="F27" i="2" l="1"/>
  <c r="F28" i="2" s="1"/>
  <c r="F22" i="2"/>
  <c r="F19" i="2"/>
  <c r="B4" i="4"/>
  <c r="B7" i="4" s="1"/>
  <c r="B21" i="3"/>
  <c r="G17" i="2"/>
  <c r="H7" i="3"/>
  <c r="H11" i="3"/>
  <c r="H12" i="3" s="1"/>
  <c r="H15" i="2"/>
  <c r="H6" i="3"/>
  <c r="H13" i="2"/>
  <c r="H14" i="2"/>
  <c r="H29" i="2"/>
  <c r="H9" i="2"/>
  <c r="H8" i="3" s="1"/>
  <c r="H16" i="2"/>
  <c r="H5" i="3" s="1"/>
  <c r="C19" i="3"/>
  <c r="D18" i="3" s="1"/>
  <c r="E20" i="3"/>
  <c r="E17" i="3"/>
  <c r="I11" i="3"/>
  <c r="I12" i="3" s="1"/>
  <c r="I15" i="2"/>
  <c r="I6" i="3"/>
  <c r="I13" i="2"/>
  <c r="I17" i="2" s="1"/>
  <c r="I10" i="2"/>
  <c r="I9" i="2"/>
  <c r="I16" i="2"/>
  <c r="I5" i="3" s="1"/>
  <c r="I14" i="2"/>
  <c r="I29" i="2"/>
  <c r="I7" i="3"/>
  <c r="G18" i="2"/>
  <c r="G11" i="2"/>
  <c r="D20" i="3"/>
  <c r="D17" i="3"/>
  <c r="C20" i="3"/>
  <c r="C17" i="3"/>
  <c r="G19" i="2" l="1"/>
  <c r="G27" i="2"/>
  <c r="G28" i="2" s="1"/>
  <c r="G22" i="2"/>
  <c r="H10" i="2"/>
  <c r="H17" i="2"/>
  <c r="I18" i="2"/>
  <c r="I11" i="2"/>
  <c r="F23" i="2"/>
  <c r="F24" i="2" s="1"/>
  <c r="D4" i="4"/>
  <c r="D7" i="4" s="1"/>
  <c r="D21" i="3"/>
  <c r="C4" i="4"/>
  <c r="C7" i="4" s="1"/>
  <c r="C21" i="3"/>
  <c r="E4" i="4"/>
  <c r="E7" i="4" s="1"/>
  <c r="E21" i="3"/>
  <c r="I8" i="3"/>
  <c r="D19" i="3"/>
  <c r="E18" i="3" s="1"/>
  <c r="E19" i="3" s="1"/>
  <c r="F18" i="3" s="1"/>
  <c r="F4" i="3" l="1"/>
  <c r="F9" i="3" s="1"/>
  <c r="F25" i="2"/>
  <c r="I19" i="2"/>
  <c r="I22" i="2"/>
  <c r="I27" i="2"/>
  <c r="I28" i="2" s="1"/>
  <c r="H18" i="2"/>
  <c r="H11" i="2"/>
  <c r="G23" i="2"/>
  <c r="G24" i="2" s="1"/>
  <c r="G4" i="3" l="1"/>
  <c r="G9" i="3" s="1"/>
  <c r="G25" i="2"/>
  <c r="H19" i="2"/>
  <c r="H27" i="2"/>
  <c r="H28" i="2" s="1"/>
  <c r="H22" i="2"/>
  <c r="I23" i="2"/>
  <c r="I24" i="2" s="1"/>
  <c r="F20" i="3"/>
  <c r="F17" i="3"/>
  <c r="F19" i="3" s="1"/>
  <c r="G18" i="3" s="1"/>
  <c r="I25" i="2" l="1"/>
  <c r="I4" i="3"/>
  <c r="I9" i="3" s="1"/>
  <c r="G27" i="4"/>
  <c r="D26" i="4"/>
  <c r="F24" i="4"/>
  <c r="C23" i="4"/>
  <c r="F27" i="4"/>
  <c r="C26" i="4"/>
  <c r="E24" i="4"/>
  <c r="C27" i="4"/>
  <c r="D25" i="4"/>
  <c r="F21" i="3"/>
  <c r="E27" i="4"/>
  <c r="G25" i="4"/>
  <c r="D24" i="4"/>
  <c r="B9" i="4"/>
  <c r="B10" i="4" s="1"/>
  <c r="B11" i="4" s="1"/>
  <c r="B14" i="4" s="1"/>
  <c r="E25" i="4"/>
  <c r="G23" i="4"/>
  <c r="D27" i="4"/>
  <c r="F25" i="4"/>
  <c r="C24" i="4"/>
  <c r="G26" i="4"/>
  <c r="F23" i="4"/>
  <c r="F4" i="4"/>
  <c r="F7" i="4" s="1"/>
  <c r="B13" i="4" s="1"/>
  <c r="B15" i="4" s="1"/>
  <c r="B17" i="4" s="1"/>
  <c r="B19" i="4" s="1"/>
  <c r="D23" i="4"/>
  <c r="C25" i="4"/>
  <c r="G24" i="4"/>
  <c r="E23" i="4"/>
  <c r="F26" i="4"/>
  <c r="E26" i="4"/>
  <c r="H23" i="2"/>
  <c r="H24" i="2"/>
  <c r="G19" i="3"/>
  <c r="H18" i="3" s="1"/>
  <c r="G17" i="3"/>
  <c r="G20" i="3"/>
  <c r="G21" i="3" s="1"/>
  <c r="H25" i="2" l="1"/>
  <c r="H4" i="3"/>
  <c r="H9" i="3" s="1"/>
  <c r="I17" i="3"/>
  <c r="I20" i="3"/>
  <c r="I21" i="3" s="1"/>
  <c r="H20" i="3" l="1"/>
  <c r="H21" i="3" s="1"/>
  <c r="H17" i="3"/>
  <c r="H19" i="3" s="1"/>
  <c r="I18" i="3" s="1"/>
  <c r="I19" i="3" s="1"/>
</calcChain>
</file>

<file path=xl/sharedStrings.xml><?xml version="1.0" encoding="utf-8"?>
<sst xmlns="http://schemas.openxmlformats.org/spreadsheetml/2006/main" count="156" uniqueCount="122">
  <si>
    <t>NovaSaaS Inc.: Model Assumptions and Key Drivers</t>
  </si>
  <si>
    <t>All figures in $mm unless noted. Blue cells are hardcoded inputs; black cells are formulas.</t>
  </si>
  <si>
    <t>Assumption / Driver</t>
  </si>
  <si>
    <t>FY2022A</t>
  </si>
  <si>
    <t>FY2023A</t>
  </si>
  <si>
    <t>FY2024A</t>
  </si>
  <si>
    <t>FY2025E</t>
  </si>
  <si>
    <t>FY2026E</t>
  </si>
  <si>
    <t>FY2027E</t>
  </si>
  <si>
    <t>FY2028E</t>
  </si>
  <si>
    <t>FY2029E</t>
  </si>
  <si>
    <t>REVENUE ASSUMPTIONS</t>
  </si>
  <si>
    <t>ARR, Beginning of Period ($mm)</t>
  </si>
  <si>
    <t>N/A</t>
  </si>
  <si>
    <t>Net New ARR ($mm)</t>
  </si>
  <si>
    <t>ARR Growth Rate</t>
  </si>
  <si>
    <t>ARR, End of Period ($mm)</t>
  </si>
  <si>
    <t>Revenue Recognition (% of ARR)</t>
  </si>
  <si>
    <t>Total Revenue ($mm)</t>
  </si>
  <si>
    <t>MARGIN AND COST ASSUMPTIONS</t>
  </si>
  <si>
    <t>Gross Margin %</t>
  </si>
  <si>
    <t>S&amp;M % of Revenue</t>
  </si>
  <si>
    <t>R&amp;D % of Revenue</t>
  </si>
  <si>
    <t>G&amp;A % of Revenue</t>
  </si>
  <si>
    <t>D&amp;A % of Revenue</t>
  </si>
  <si>
    <t>Effective Tax Rate</t>
  </si>
  <si>
    <t>BALANCE SHEET AND WORKING CAPITAL ASSUMPTIONS</t>
  </si>
  <si>
    <t>DSO (Days)</t>
  </si>
  <si>
    <t>DPO (Days)</t>
  </si>
  <si>
    <t>Deferred Revenue (days)</t>
  </si>
  <si>
    <t>Capex % of Revenue</t>
  </si>
  <si>
    <t>DCF VALUATION ASSUMPTIONS</t>
  </si>
  <si>
    <t>WACC</t>
  </si>
  <si>
    <t>(Discount rate: risk-free rate + equity risk premium + size/specific risk)</t>
  </si>
  <si>
    <t>Terminal Growth Rate</t>
  </si>
  <si>
    <t>(Long-term perpetuity growth rate; should be at or below nominal GDP growth)</t>
  </si>
  <si>
    <t>Net Debt / (Cash) ($mm)</t>
  </si>
  <si>
    <t>(Negative value indicates net cash position)</t>
  </si>
  <si>
    <t>Diluted Shares Outstanding (mm)</t>
  </si>
  <si>
    <t>NovaSaaS Inc.: Income Statement</t>
  </si>
  <si>
    <t>All figures in USD millions. Hypothetical SaaS company for portfolio demonstration purposes.</t>
  </si>
  <si>
    <t>REVENUE</t>
  </si>
  <si>
    <t xml:space="preserve">  Subscription Revenue</t>
  </si>
  <si>
    <t xml:space="preserve">  Professional Services</t>
  </si>
  <si>
    <t>Total Revenue</t>
  </si>
  <si>
    <t>COST OF REVENUE</t>
  </si>
  <si>
    <t xml:space="preserve">  Cost of Revenue</t>
  </si>
  <si>
    <t>Gross Profit</t>
  </si>
  <si>
    <t xml:space="preserve">  Gross Margin %</t>
  </si>
  <si>
    <t>OPERATING EXPENSES</t>
  </si>
  <si>
    <t xml:space="preserve">  Sales and Marketing</t>
  </si>
  <si>
    <t xml:space="preserve">  Research and Development</t>
  </si>
  <si>
    <t xml:space="preserve">  General and Administrative</t>
  </si>
  <si>
    <t xml:space="preserve">  Depreciation and Amortization</t>
  </si>
  <si>
    <t>Total OpEx</t>
  </si>
  <si>
    <t>EBIT (Operating Income)</t>
  </si>
  <si>
    <t xml:space="preserve">  EBIT Margin %</t>
  </si>
  <si>
    <t>NON-OPERATING ITEMS</t>
  </si>
  <si>
    <t xml:space="preserve">  Interest Income / (Expense)</t>
  </si>
  <si>
    <t>Pre-Tax Income</t>
  </si>
  <si>
    <t xml:space="preserve">  Income Tax Expense</t>
  </si>
  <si>
    <t>Net Income</t>
  </si>
  <si>
    <t xml:space="preserve">  Net Margin %</t>
  </si>
  <si>
    <t>EBITDA BRIDGE</t>
  </si>
  <si>
    <t>EBITDA</t>
  </si>
  <si>
    <t xml:space="preserve">  EBITDA Margin %</t>
  </si>
  <si>
    <t>YoY Revenue Growth</t>
  </si>
  <si>
    <t>NovaSaaS Inc.: Cash Flow Statement</t>
  </si>
  <si>
    <t>OPERATING ACTIVITIES</t>
  </si>
  <si>
    <t xml:space="preserve">  Net Income</t>
  </si>
  <si>
    <t xml:space="preserve">  Add: Depreciation and Amortization</t>
  </si>
  <si>
    <t xml:space="preserve">  (Increase) / Decrease in Accounts Receivable</t>
  </si>
  <si>
    <t xml:space="preserve">  Increase / (Decrease) in Deferred Revenue</t>
  </si>
  <si>
    <t xml:space="preserve">  Increase / (Decrease) in Accounts Payable</t>
  </si>
  <si>
    <t>Cash from Operations</t>
  </si>
  <si>
    <t>INVESTING ACTIVITIES</t>
  </si>
  <si>
    <t xml:space="preserve">  Capital Expenditures</t>
  </si>
  <si>
    <t>Cash from Investing</t>
  </si>
  <si>
    <t>FINANCING ACTIVITIES</t>
  </si>
  <si>
    <t xml:space="preserve">  Share Repurchases / (Issuances)</t>
  </si>
  <si>
    <t xml:space="preserve">  Debt Issuance / (Repayment)</t>
  </si>
  <si>
    <t>Cash from Financing</t>
  </si>
  <si>
    <t>Net Change in Cash</t>
  </si>
  <si>
    <t>Beginning Cash</t>
  </si>
  <si>
    <t>Ending Cash</t>
  </si>
  <si>
    <t>Free Cash Flow (CFO less Capex)</t>
  </si>
  <si>
    <t xml:space="preserve">  FCF Margin %</t>
  </si>
  <si>
    <t>NovaSaaS Inc.: DCF Valuation</t>
  </si>
  <si>
    <t>FREE CASH FLOW PROJECTIONS</t>
  </si>
  <si>
    <t xml:space="preserve">  Free Cash Flow ($mm)</t>
  </si>
  <si>
    <t xml:space="preserve">  Discount Period</t>
  </si>
  <si>
    <t xml:space="preserve">  Discount Factor</t>
  </si>
  <si>
    <t xml:space="preserve">  Present Value of FCF</t>
  </si>
  <si>
    <t>TERMINAL VALUE</t>
  </si>
  <si>
    <t xml:space="preserve">  Terminal Year FCF ($mm)</t>
  </si>
  <si>
    <t xml:space="preserve">  Terminal Value (Gordon Growth Model)</t>
  </si>
  <si>
    <t xml:space="preserve">  PV of Terminal Value</t>
  </si>
  <si>
    <t>ENTERPRISE VALUE BRIDGE</t>
  </si>
  <si>
    <t xml:space="preserve">  Sum of PV of FCFs ($mm)</t>
  </si>
  <si>
    <t xml:space="preserve">  PV of Terminal Value ($mm)</t>
  </si>
  <si>
    <t>Enterprise Value ($mm)</t>
  </si>
  <si>
    <t xml:space="preserve">  Less: Net Debt / (Plus: Net Cash) ($mm)</t>
  </si>
  <si>
    <t>Equity Value ($mm)</t>
  </si>
  <si>
    <t>Implied Share Price</t>
  </si>
  <si>
    <t>SENSITIVITY ANALYSIS: IMPLIED SHARE PRICE</t>
  </si>
  <si>
    <t>TGR ↓ \ WACC →</t>
  </si>
  <si>
    <t>Base case highlighted in yellow (WACC = 10%, Terminal Growth Rate = 3%). WACC and TGR header cells are live inputs — update to refresh the table.</t>
  </si>
  <si>
    <t>NovaSaaS Inc.: Scenario Analysis</t>
  </si>
  <si>
    <t>Metric</t>
  </si>
  <si>
    <t>Bear Case</t>
  </si>
  <si>
    <t>Base Case</t>
  </si>
  <si>
    <t>Bull Case</t>
  </si>
  <si>
    <t>ARR Growth Rate (FY2025E)</t>
  </si>
  <si>
    <t>Gross Margin (FY2025E)</t>
  </si>
  <si>
    <t>EBITDA Margin (FY2025E)</t>
  </si>
  <si>
    <t>FY2025E Revenue ($mm)</t>
  </si>
  <si>
    <t>FY2025E EBITDA ($mm)</t>
  </si>
  <si>
    <t>Implied EV / Revenue</t>
  </si>
  <si>
    <t>Scenario Assumptions:</t>
  </si>
  <si>
    <t>Bear Case: Macro headwinds and elevated churn compress growth; elongated sales cycles and competitive pressure weigh on margins.</t>
  </si>
  <si>
    <t>Base Case: Steady ARR growth with gradual margin expansion; net revenue retention holds at approximately 115%.</t>
  </si>
  <si>
    <t>Bull Case: Accelerated enterprise adoption and strong product-led growth; upsell momentum drives net revenue retention above 125%.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</si>
</sst>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;\(#,##0\);\-"/>
    <numFmt numFmtId="165" formatCode="0.0%;\(0.0%\);\-"/>
    <numFmt numFmtId="166" formatCode="0.0"/>
    <numFmt numFmtId="167" formatCode="0.000"/>
    <numFmt numFmtId="168" formatCode="\$#,##0.00"/>
    <numFmt numFmtId="169" formatCode="0.0%"/>
    <numFmt numFmtId="170" formatCode="\$#,##0"/>
    <numFmt numFmtId="171" formatCode="\$#,##0;&quot;($&quot;#,##0\)"/>
    <numFmt numFmtId="172" formatCode="0.0\x"/>
  </numFmts>
  <fonts count="14" x14ac:knownFonts="1">
    <font>
      <sz val="11"/>
      <color theme="1"/>
      <name val="Calibri"/>
      <family val="2"/>
      <charset val="1"/>
    </font>
    <font>
      <b/>
      <sz val="11"/>
      <name val="Cambria"/>
      <family val="1"/>
    </font>
    <font>
      <i/>
      <sz val="9"/>
      <color rgb="FF595959"/>
      <name val="Arial"/>
      <family val="2"/>
    </font>
    <font>
      <b/>
      <sz val="9"/>
      <color rgb="FFFFFFF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i/>
      <sz val="11"/>
      <color rgb="FF888888"/>
      <name val="Cambria"/>
      <family val="1"/>
    </font>
    <font>
      <sz val="10"/>
      <color rgb="FF000000"/>
      <name val="Arial"/>
      <family val="2"/>
    </font>
    <font>
      <i/>
      <sz val="9"/>
      <color rgb="FF666666"/>
      <name val="Cambria"/>
      <family val="1"/>
    </font>
    <font>
      <b/>
      <sz val="10"/>
      <name val="Arial"/>
      <family val="2"/>
    </font>
    <font>
      <b/>
      <sz val="12"/>
      <name val="Arial"/>
      <family val="2"/>
    </font>
    <font>
      <sz val="11"/>
      <color rgb="FF0000FF"/>
      <name val="Cambria"/>
      <family val="1"/>
    </font>
    <font>
      <sz val="11"/>
      <color rgb="FF000000"/>
      <name val="Cambria"/>
      <family val="1"/>
    </font>
    <font>
      <i/>
      <sz val="9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4472C4"/>
      </patternFill>
    </fill>
    <fill>
      <patternFill patternType="solid">
        <fgColor rgb="FFE2EFDA"/>
        <bgColor rgb="FFF2F2F2"/>
      </patternFill>
    </fill>
    <fill>
      <patternFill patternType="solid">
        <fgColor rgb="FFD6DCE4"/>
        <bgColor rgb="FFDAE3F3"/>
      </patternFill>
    </fill>
    <fill>
      <patternFill patternType="solid">
        <fgColor rgb="FFDAE3F3"/>
        <bgColor rgb="FFD6DCE4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2F2F2"/>
      </patternFill>
    </fill>
    <fill>
      <patternFill patternType="solid">
        <fgColor rgb="FFF2F2F2"/>
        <bgColor rgb="FFE2EFDA"/>
      </patternFill>
    </fill>
  </fills>
  <borders count="2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3" fillId="0" borderId="0" xfId="0" applyFont="1" applyAlignment="1">
      <alignment wrapText="1"/>
    </xf>
    <xf numFmtId="0" fontId="8" fillId="0" borderId="0" xfId="0" applyFont="1"/>
    <xf numFmtId="0" fontId="1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indent="1"/>
    </xf>
    <xf numFmtId="164" fontId="5" fillId="4" borderId="1" xfId="0" applyNumberFormat="1" applyFont="1" applyFill="1" applyBorder="1" applyAlignment="1">
      <alignment horizontal="right"/>
    </xf>
    <xf numFmtId="0" fontId="6" fillId="0" borderId="0" xfId="0" applyFont="1" applyAlignment="1">
      <alignment horizontal="center"/>
    </xf>
    <xf numFmtId="165" fontId="5" fillId="4" borderId="1" xfId="0" applyNumberFormat="1" applyFont="1" applyFill="1" applyBorder="1" applyAlignment="1">
      <alignment horizontal="right"/>
    </xf>
    <xf numFmtId="165" fontId="7" fillId="0" borderId="1" xfId="0" applyNumberFormat="1" applyFont="1" applyBorder="1" applyAlignment="1">
      <alignment horizontal="right"/>
    </xf>
    <xf numFmtId="164" fontId="7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left" indent="1"/>
    </xf>
    <xf numFmtId="0" fontId="8" fillId="0" borderId="0" xfId="0" applyFont="1"/>
    <xf numFmtId="0" fontId="9" fillId="0" borderId="1" xfId="0" applyFont="1" applyBorder="1" applyAlignment="1">
      <alignment horizontal="left" indent="1"/>
    </xf>
    <xf numFmtId="164" fontId="9" fillId="5" borderId="1" xfId="0" applyNumberFormat="1" applyFont="1" applyFill="1" applyBorder="1" applyAlignment="1">
      <alignment horizontal="right"/>
    </xf>
    <xf numFmtId="164" fontId="9" fillId="6" borderId="1" xfId="0" applyNumberFormat="1" applyFont="1" applyFill="1" applyBorder="1" applyAlignment="1">
      <alignment horizontal="right"/>
    </xf>
    <xf numFmtId="164" fontId="0" fillId="0" borderId="0" xfId="0" applyNumberFormat="1"/>
    <xf numFmtId="164" fontId="5" fillId="0" borderId="0" xfId="0" applyNumberFormat="1" applyFont="1"/>
    <xf numFmtId="166" fontId="7" fillId="0" borderId="1" xfId="0" applyNumberFormat="1" applyFont="1" applyBorder="1" applyAlignment="1">
      <alignment horizontal="right"/>
    </xf>
    <xf numFmtId="167" fontId="7" fillId="0" borderId="1" xfId="0" applyNumberFormat="1" applyFont="1" applyBorder="1" applyAlignment="1">
      <alignment horizontal="right"/>
    </xf>
    <xf numFmtId="168" fontId="10" fillId="0" borderId="1" xfId="0" applyNumberFormat="1" applyFont="1" applyBorder="1" applyAlignment="1">
      <alignment horizontal="right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9" fontId="11" fillId="3" borderId="0" xfId="0" applyNumberFormat="1" applyFont="1" applyFill="1" applyAlignment="1">
      <alignment horizontal="center"/>
    </xf>
    <xf numFmtId="169" fontId="11" fillId="3" borderId="0" xfId="0" applyNumberFormat="1" applyFont="1" applyFill="1" applyAlignment="1">
      <alignment horizontal="center"/>
    </xf>
    <xf numFmtId="168" fontId="12" fillId="0" borderId="1" xfId="0" applyNumberFormat="1" applyFont="1" applyBorder="1" applyAlignment="1">
      <alignment horizontal="center"/>
    </xf>
    <xf numFmtId="168" fontId="12" fillId="7" borderId="1" xfId="0" applyNumberFormat="1" applyFont="1" applyFill="1" applyBorder="1" applyAlignment="1">
      <alignment horizontal="center"/>
    </xf>
    <xf numFmtId="9" fontId="11" fillId="8" borderId="1" xfId="0" applyNumberFormat="1" applyFont="1" applyFill="1" applyBorder="1" applyAlignment="1">
      <alignment horizontal="center"/>
    </xf>
    <xf numFmtId="9" fontId="11" fillId="9" borderId="1" xfId="0" applyNumberFormat="1" applyFont="1" applyFill="1" applyBorder="1" applyAlignment="1">
      <alignment horizontal="center"/>
    </xf>
    <xf numFmtId="9" fontId="11" fillId="4" borderId="1" xfId="0" applyNumberFormat="1" applyFont="1" applyFill="1" applyBorder="1" applyAlignment="1">
      <alignment horizontal="center"/>
    </xf>
    <xf numFmtId="170" fontId="12" fillId="8" borderId="1" xfId="0" applyNumberFormat="1" applyFont="1" applyFill="1" applyBorder="1" applyAlignment="1">
      <alignment horizontal="center"/>
    </xf>
    <xf numFmtId="170" fontId="12" fillId="9" borderId="1" xfId="0" applyNumberFormat="1" applyFont="1" applyFill="1" applyBorder="1" applyAlignment="1">
      <alignment horizontal="center"/>
    </xf>
    <xf numFmtId="170" fontId="12" fillId="4" borderId="1" xfId="0" applyNumberFormat="1" applyFont="1" applyFill="1" applyBorder="1" applyAlignment="1">
      <alignment horizontal="center"/>
    </xf>
    <xf numFmtId="171" fontId="12" fillId="8" borderId="1" xfId="0" applyNumberFormat="1" applyFont="1" applyFill="1" applyBorder="1" applyAlignment="1">
      <alignment horizontal="center"/>
    </xf>
    <xf numFmtId="171" fontId="12" fillId="9" borderId="1" xfId="0" applyNumberFormat="1" applyFont="1" applyFill="1" applyBorder="1" applyAlignment="1">
      <alignment horizontal="center"/>
    </xf>
    <xf numFmtId="171" fontId="12" fillId="4" borderId="1" xfId="0" applyNumberFormat="1" applyFont="1" applyFill="1" applyBorder="1" applyAlignment="1">
      <alignment horizontal="center"/>
    </xf>
    <xf numFmtId="172" fontId="11" fillId="8" borderId="1" xfId="0" applyNumberFormat="1" applyFont="1" applyFill="1" applyBorder="1" applyAlignment="1">
      <alignment horizontal="center"/>
    </xf>
    <xf numFmtId="172" fontId="11" fillId="9" borderId="1" xfId="0" applyNumberFormat="1" applyFont="1" applyFill="1" applyBorder="1" applyAlignment="1">
      <alignment horizontal="center"/>
    </xf>
    <xf numFmtId="172" fontId="11" fillId="4" borderId="1" xfId="0" applyNumberFormat="1" applyFont="1" applyFill="1" applyBorder="1" applyAlignment="1">
      <alignment horizontal="center"/>
    </xf>
    <xf numFmtId="168" fontId="12" fillId="8" borderId="1" xfId="0" applyNumberFormat="1" applyFont="1" applyFill="1" applyBorder="1" applyAlignment="1">
      <alignment horizontal="center"/>
    </xf>
    <xf numFmtId="168" fontId="12" fillId="9" borderId="1" xfId="0" applyNumberFormat="1" applyFont="1" applyFill="1" applyBorder="1" applyAlignment="1">
      <alignment horizontal="center"/>
    </xf>
    <xf numFmtId="168" fontId="12" fillId="4" borderId="1" xfId="0" applyNumberFormat="1" applyFont="1" applyFill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B8B8"/>
      <rgbColor rgb="FF888888"/>
      <rgbColor rgb="FF9999FF"/>
      <rgbColor rgb="FF993366"/>
      <rgbColor rgb="FFF2F2F2"/>
      <rgbColor rgb="FFDAE3F3"/>
      <rgbColor rgb="FF660066"/>
      <rgbColor rgb="FFFF8080"/>
      <rgbColor rgb="FF2E75B6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000"/>
      <rgbColor rgb="FFFF9900"/>
      <rgbColor rgb="FFFF6600"/>
      <rgbColor rgb="FF666666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I27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7" sqref="D7"/>
    </sheetView>
  </sheetViews>
  <sheetFormatPr baseColWidth="10" defaultColWidth="8.6640625" defaultRowHeight="15" x14ac:dyDescent="0.2"/>
  <cols>
    <col min="1" max="1" width="28" customWidth="1"/>
    <col min="2" max="9" width="14" customWidth="1"/>
  </cols>
  <sheetData>
    <row r="1" spans="1:9" ht="21.75" customHeight="1" x14ac:dyDescent="0.2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ht="13.5" customHeight="1" x14ac:dyDescent="0.2">
      <c r="A2" s="5" t="s">
        <v>1</v>
      </c>
    </row>
    <row r="3" spans="1:9" ht="30" customHeight="1" x14ac:dyDescent="0.2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</row>
    <row r="4" spans="1:9" ht="18" customHeight="1" x14ac:dyDescent="0.2">
      <c r="A4" s="3" t="s">
        <v>11</v>
      </c>
      <c r="B4" s="3"/>
      <c r="C4" s="3"/>
      <c r="D4" s="3"/>
      <c r="E4" s="3"/>
      <c r="F4" s="3"/>
      <c r="G4" s="3"/>
      <c r="H4" s="3"/>
      <c r="I4" s="3"/>
    </row>
    <row r="5" spans="1:9" ht="15" customHeight="1" x14ac:dyDescent="0.2">
      <c r="A5" s="7" t="s">
        <v>12</v>
      </c>
      <c r="B5" s="8">
        <v>120</v>
      </c>
      <c r="C5" s="8">
        <v>185</v>
      </c>
      <c r="D5" s="8">
        <v>268</v>
      </c>
      <c r="E5" s="9" t="s">
        <v>13</v>
      </c>
      <c r="F5" s="9" t="s">
        <v>13</v>
      </c>
      <c r="G5" s="9" t="s">
        <v>13</v>
      </c>
      <c r="H5" s="9" t="s">
        <v>13</v>
      </c>
      <c r="I5" s="9" t="s">
        <v>13</v>
      </c>
    </row>
    <row r="6" spans="1:9" ht="15" customHeight="1" x14ac:dyDescent="0.2">
      <c r="A6" s="7" t="s">
        <v>14</v>
      </c>
      <c r="B6" s="8">
        <v>65</v>
      </c>
      <c r="C6" s="8">
        <v>83</v>
      </c>
      <c r="D6" s="8">
        <v>102</v>
      </c>
      <c r="E6" s="9" t="s">
        <v>13</v>
      </c>
      <c r="F6" s="9" t="s">
        <v>13</v>
      </c>
      <c r="G6" s="9" t="s">
        <v>13</v>
      </c>
      <c r="H6" s="9" t="s">
        <v>13</v>
      </c>
      <c r="I6" s="9" t="s">
        <v>13</v>
      </c>
    </row>
    <row r="7" spans="1:9" ht="15" customHeight="1" x14ac:dyDescent="0.2">
      <c r="A7" s="7" t="s">
        <v>15</v>
      </c>
      <c r="B7" s="10">
        <v>0.18</v>
      </c>
      <c r="C7" s="10">
        <v>0.18</v>
      </c>
      <c r="D7" s="10">
        <v>0.18</v>
      </c>
      <c r="E7" s="11">
        <v>0.3</v>
      </c>
      <c r="F7" s="11">
        <v>0.27</v>
      </c>
      <c r="G7" s="11">
        <v>0.24</v>
      </c>
      <c r="H7" s="11">
        <v>0.21</v>
      </c>
      <c r="I7" s="11">
        <v>0.18</v>
      </c>
    </row>
    <row r="8" spans="1:9" ht="15" customHeight="1" x14ac:dyDescent="0.2">
      <c r="A8" s="7" t="s">
        <v>16</v>
      </c>
      <c r="B8" s="8">
        <v>185</v>
      </c>
      <c r="C8" s="8">
        <v>268</v>
      </c>
      <c r="D8" s="8">
        <v>370</v>
      </c>
      <c r="E8" s="12">
        <f>D8*(1+E7)</f>
        <v>481</v>
      </c>
      <c r="F8" s="12">
        <f>E8*(1+F7)</f>
        <v>610.87</v>
      </c>
      <c r="G8" s="12">
        <f>F8*(1+G7)</f>
        <v>757.47879999999998</v>
      </c>
      <c r="H8" s="12">
        <f>G8*(1+H7)</f>
        <v>916.5493479999999</v>
      </c>
      <c r="I8" s="12">
        <f>H8*(1+I7)</f>
        <v>1081.5282306399997</v>
      </c>
    </row>
    <row r="9" spans="1:9" ht="15" customHeight="1" x14ac:dyDescent="0.2">
      <c r="A9" s="7" t="s">
        <v>17</v>
      </c>
      <c r="B9" s="10">
        <v>0.88</v>
      </c>
      <c r="C9" s="10">
        <v>0.89</v>
      </c>
      <c r="D9" s="10">
        <v>0.9</v>
      </c>
      <c r="E9" s="10">
        <v>0.9</v>
      </c>
      <c r="F9" s="10">
        <v>0.9</v>
      </c>
      <c r="G9" s="10">
        <v>0.91</v>
      </c>
      <c r="H9" s="10">
        <v>0.91</v>
      </c>
      <c r="I9" s="10">
        <v>0.91</v>
      </c>
    </row>
    <row r="10" spans="1:9" ht="15" customHeight="1" x14ac:dyDescent="0.2">
      <c r="A10" s="7" t="s">
        <v>18</v>
      </c>
      <c r="B10" s="8">
        <v>106</v>
      </c>
      <c r="C10" s="8">
        <v>160</v>
      </c>
      <c r="D10" s="8">
        <v>234</v>
      </c>
      <c r="E10" s="12">
        <f>E8*E9</f>
        <v>432.90000000000003</v>
      </c>
      <c r="F10" s="12">
        <f>F8*F9</f>
        <v>549.78300000000002</v>
      </c>
      <c r="G10" s="12">
        <f>G8*G9</f>
        <v>689.30570799999998</v>
      </c>
      <c r="H10" s="12">
        <f>H8*H9</f>
        <v>834.05990667999993</v>
      </c>
      <c r="I10" s="12">
        <f>I8*I9</f>
        <v>984.19068988239974</v>
      </c>
    </row>
    <row r="11" spans="1:9" ht="18" customHeight="1" x14ac:dyDescent="0.2">
      <c r="A11" s="3" t="s">
        <v>19</v>
      </c>
      <c r="B11" s="3"/>
      <c r="C11" s="3"/>
      <c r="D11" s="3"/>
      <c r="E11" s="3"/>
      <c r="F11" s="3"/>
      <c r="G11" s="3"/>
      <c r="H11" s="3"/>
      <c r="I11" s="3"/>
    </row>
    <row r="12" spans="1:9" ht="15" customHeight="1" x14ac:dyDescent="0.2">
      <c r="A12" s="7" t="s">
        <v>20</v>
      </c>
      <c r="B12" s="10">
        <v>0.68</v>
      </c>
      <c r="C12" s="10">
        <v>0.7</v>
      </c>
      <c r="D12" s="10">
        <v>0.72</v>
      </c>
      <c r="E12" s="10">
        <v>0.73</v>
      </c>
      <c r="F12" s="10">
        <v>0.74</v>
      </c>
      <c r="G12" s="10">
        <v>0.75</v>
      </c>
      <c r="H12" s="10">
        <v>0.76</v>
      </c>
      <c r="I12" s="10">
        <v>0.77</v>
      </c>
    </row>
    <row r="13" spans="1:9" ht="15" customHeight="1" x14ac:dyDescent="0.2">
      <c r="A13" s="7" t="s">
        <v>21</v>
      </c>
      <c r="B13" s="10">
        <v>0.42</v>
      </c>
      <c r="C13" s="10">
        <v>0.38</v>
      </c>
      <c r="D13" s="10">
        <v>0.35</v>
      </c>
      <c r="E13" s="10">
        <v>0.33</v>
      </c>
      <c r="F13" s="10">
        <v>0.31</v>
      </c>
      <c r="G13" s="10">
        <v>0.28999999999999998</v>
      </c>
      <c r="H13" s="10">
        <v>0.27</v>
      </c>
      <c r="I13" s="10">
        <v>0.25</v>
      </c>
    </row>
    <row r="14" spans="1:9" ht="15" customHeight="1" x14ac:dyDescent="0.2">
      <c r="A14" s="7" t="s">
        <v>22</v>
      </c>
      <c r="B14" s="10">
        <v>0.18</v>
      </c>
      <c r="C14" s="10">
        <v>0.17</v>
      </c>
      <c r="D14" s="10">
        <v>0.16</v>
      </c>
      <c r="E14" s="10">
        <v>0.15</v>
      </c>
      <c r="F14" s="10">
        <v>0.15</v>
      </c>
      <c r="G14" s="10">
        <v>0.14000000000000001</v>
      </c>
      <c r="H14" s="10">
        <v>0.14000000000000001</v>
      </c>
      <c r="I14" s="10">
        <v>0.13</v>
      </c>
    </row>
    <row r="15" spans="1:9" ht="15" customHeight="1" x14ac:dyDescent="0.2">
      <c r="A15" s="7" t="s">
        <v>23</v>
      </c>
      <c r="B15" s="10">
        <v>0.12</v>
      </c>
      <c r="C15" s="10">
        <v>0.11</v>
      </c>
      <c r="D15" s="10">
        <v>0.1</v>
      </c>
      <c r="E15" s="10">
        <v>0.09</v>
      </c>
      <c r="F15" s="10">
        <v>0.09</v>
      </c>
      <c r="G15" s="10">
        <v>0.08</v>
      </c>
      <c r="H15" s="10">
        <v>0.08</v>
      </c>
      <c r="I15" s="10">
        <v>0.08</v>
      </c>
    </row>
    <row r="16" spans="1:9" ht="15" customHeight="1" x14ac:dyDescent="0.2">
      <c r="A16" s="7" t="s">
        <v>24</v>
      </c>
      <c r="B16" s="10">
        <v>0.03</v>
      </c>
      <c r="C16" s="10">
        <v>0.03</v>
      </c>
      <c r="D16" s="10">
        <v>0.03</v>
      </c>
      <c r="E16" s="10">
        <v>0.03</v>
      </c>
      <c r="F16" s="10">
        <v>0.03</v>
      </c>
      <c r="G16" s="10">
        <v>0.03</v>
      </c>
      <c r="H16" s="10">
        <v>0.03</v>
      </c>
      <c r="I16" s="10">
        <v>0.03</v>
      </c>
    </row>
    <row r="17" spans="1:9" ht="15" customHeight="1" x14ac:dyDescent="0.2">
      <c r="A17" s="7" t="s">
        <v>25</v>
      </c>
      <c r="B17" s="10">
        <v>0.21</v>
      </c>
      <c r="C17" s="10">
        <v>0.21</v>
      </c>
      <c r="D17" s="10">
        <v>0.21</v>
      </c>
      <c r="E17" s="10">
        <v>0.21</v>
      </c>
      <c r="F17" s="10">
        <v>0.21</v>
      </c>
      <c r="G17" s="10">
        <v>0.21</v>
      </c>
      <c r="H17" s="10">
        <v>0.21</v>
      </c>
      <c r="I17" s="10">
        <v>0.21</v>
      </c>
    </row>
    <row r="18" spans="1:9" ht="18" customHeight="1" x14ac:dyDescent="0.2">
      <c r="A18" s="3" t="s">
        <v>26</v>
      </c>
      <c r="B18" s="3"/>
      <c r="C18" s="3"/>
      <c r="D18" s="3"/>
      <c r="E18" s="3"/>
      <c r="F18" s="3"/>
      <c r="G18" s="3"/>
      <c r="H18" s="3"/>
      <c r="I18" s="3"/>
    </row>
    <row r="19" spans="1:9" ht="15" customHeight="1" x14ac:dyDescent="0.2">
      <c r="A19" s="7" t="s">
        <v>27</v>
      </c>
      <c r="B19" s="8">
        <v>55</v>
      </c>
      <c r="C19" s="8">
        <v>52</v>
      </c>
      <c r="D19" s="8">
        <v>50</v>
      </c>
      <c r="E19" s="8">
        <v>48</v>
      </c>
      <c r="F19" s="8">
        <v>46</v>
      </c>
      <c r="G19" s="8">
        <v>44</v>
      </c>
      <c r="H19" s="8">
        <v>42</v>
      </c>
      <c r="I19" s="8">
        <v>40</v>
      </c>
    </row>
    <row r="20" spans="1:9" ht="15" customHeight="1" x14ac:dyDescent="0.2">
      <c r="A20" s="7" t="s">
        <v>28</v>
      </c>
      <c r="B20" s="8">
        <v>30</v>
      </c>
      <c r="C20" s="8">
        <v>30</v>
      </c>
      <c r="D20" s="8">
        <v>32</v>
      </c>
      <c r="E20" s="8">
        <v>32</v>
      </c>
      <c r="F20" s="8">
        <v>33</v>
      </c>
      <c r="G20" s="8">
        <v>33</v>
      </c>
      <c r="H20" s="8">
        <v>34</v>
      </c>
      <c r="I20" s="8">
        <v>34</v>
      </c>
    </row>
    <row r="21" spans="1:9" ht="15" customHeight="1" x14ac:dyDescent="0.2">
      <c r="A21" s="7" t="s">
        <v>29</v>
      </c>
      <c r="B21" s="8">
        <v>90</v>
      </c>
      <c r="C21" s="8">
        <v>90</v>
      </c>
      <c r="D21" s="8">
        <v>92</v>
      </c>
      <c r="E21" s="8">
        <v>92</v>
      </c>
      <c r="F21" s="8">
        <v>93</v>
      </c>
      <c r="G21" s="8">
        <v>93</v>
      </c>
      <c r="H21" s="8">
        <v>94</v>
      </c>
      <c r="I21" s="8">
        <v>94</v>
      </c>
    </row>
    <row r="22" spans="1:9" ht="15" customHeight="1" x14ac:dyDescent="0.2">
      <c r="A22" s="7" t="s">
        <v>30</v>
      </c>
      <c r="B22" s="10">
        <v>0.04</v>
      </c>
      <c r="C22" s="10">
        <v>0.04</v>
      </c>
      <c r="D22" s="10">
        <v>0.03</v>
      </c>
      <c r="E22" s="10">
        <v>0.03</v>
      </c>
      <c r="F22" s="10">
        <v>0.03</v>
      </c>
      <c r="G22" s="10">
        <v>0.03</v>
      </c>
      <c r="H22" s="10">
        <v>0.02</v>
      </c>
      <c r="I22" s="10">
        <v>0.02</v>
      </c>
    </row>
    <row r="23" spans="1:9" ht="18" customHeight="1" x14ac:dyDescent="0.2">
      <c r="A23" s="3" t="s">
        <v>31</v>
      </c>
      <c r="B23" s="3"/>
      <c r="C23" s="3"/>
      <c r="D23" s="3"/>
      <c r="E23" s="3"/>
      <c r="F23" s="3"/>
      <c r="G23" s="3"/>
      <c r="H23" s="3"/>
      <c r="I23" s="3"/>
    </row>
    <row r="24" spans="1:9" ht="15" customHeight="1" x14ac:dyDescent="0.2">
      <c r="A24" s="13" t="s">
        <v>32</v>
      </c>
      <c r="B24" s="10">
        <v>0.1</v>
      </c>
      <c r="C24" s="2" t="s">
        <v>33</v>
      </c>
      <c r="D24" s="2"/>
      <c r="E24" s="2"/>
      <c r="F24" s="2"/>
      <c r="G24" s="2"/>
      <c r="H24" s="2"/>
      <c r="I24" s="2"/>
    </row>
    <row r="25" spans="1:9" ht="15" customHeight="1" x14ac:dyDescent="0.2">
      <c r="A25" s="13" t="s">
        <v>34</v>
      </c>
      <c r="B25" s="10">
        <v>0.03</v>
      </c>
      <c r="C25" s="2" t="s">
        <v>35</v>
      </c>
      <c r="D25" s="2"/>
      <c r="E25" s="2"/>
      <c r="F25" s="2"/>
      <c r="G25" s="2"/>
      <c r="H25" s="2"/>
      <c r="I25" s="2"/>
    </row>
    <row r="26" spans="1:9" ht="15" customHeight="1" x14ac:dyDescent="0.2">
      <c r="A26" s="13" t="s">
        <v>36</v>
      </c>
      <c r="B26" s="8">
        <v>-85</v>
      </c>
      <c r="C26" s="2" t="s">
        <v>37</v>
      </c>
      <c r="D26" s="2"/>
      <c r="E26" s="2"/>
      <c r="F26" s="2"/>
      <c r="G26" s="2"/>
      <c r="H26" s="2"/>
      <c r="I26" s="2"/>
    </row>
    <row r="27" spans="1:9" ht="15" customHeight="1" x14ac:dyDescent="0.2">
      <c r="A27" s="13" t="s">
        <v>38</v>
      </c>
      <c r="B27" s="8">
        <v>125</v>
      </c>
    </row>
  </sheetData>
  <mergeCells count="8">
    <mergeCell ref="C24:I24"/>
    <mergeCell ref="C25:I25"/>
    <mergeCell ref="C26:I26"/>
    <mergeCell ref="A1:I1"/>
    <mergeCell ref="A4:I4"/>
    <mergeCell ref="A11:I11"/>
    <mergeCell ref="A18:I18"/>
    <mergeCell ref="A23:I2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I29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I1"/>
    </sheetView>
  </sheetViews>
  <sheetFormatPr baseColWidth="10" defaultColWidth="8.6640625" defaultRowHeight="15" x14ac:dyDescent="0.2"/>
  <cols>
    <col min="1" max="1" width="32" customWidth="1"/>
    <col min="2" max="9" width="13" customWidth="1"/>
  </cols>
  <sheetData>
    <row r="1" spans="1:9" ht="21.75" customHeight="1" x14ac:dyDescent="0.2">
      <c r="A1" s="4" t="s">
        <v>39</v>
      </c>
      <c r="B1" s="4"/>
      <c r="C1" s="4"/>
      <c r="D1" s="4"/>
      <c r="E1" s="4"/>
      <c r="F1" s="4"/>
      <c r="G1" s="4"/>
      <c r="H1" s="4"/>
      <c r="I1" s="4"/>
    </row>
    <row r="2" spans="1:9" ht="15" customHeight="1" x14ac:dyDescent="0.2">
      <c r="A2" s="14" t="s">
        <v>40</v>
      </c>
    </row>
    <row r="3" spans="1:9" ht="30" customHeight="1" x14ac:dyDescent="0.2">
      <c r="A3" s="6"/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</row>
    <row r="4" spans="1:9" ht="18" customHeight="1" x14ac:dyDescent="0.2">
      <c r="A4" s="3" t="s">
        <v>41</v>
      </c>
      <c r="B4" s="3"/>
      <c r="C4" s="3"/>
      <c r="D4" s="3"/>
      <c r="E4" s="3"/>
      <c r="F4" s="3"/>
      <c r="G4" s="3"/>
      <c r="H4" s="3"/>
      <c r="I4" s="3"/>
    </row>
    <row r="5" spans="1:9" ht="15" customHeight="1" x14ac:dyDescent="0.2">
      <c r="A5" s="7" t="s">
        <v>42</v>
      </c>
      <c r="B5" s="8">
        <v>95</v>
      </c>
      <c r="C5" s="8">
        <v>144</v>
      </c>
      <c r="D5" s="8">
        <v>211</v>
      </c>
      <c r="E5" s="12">
        <f>Assumptions!E10*0.92</f>
        <v>398.26800000000003</v>
      </c>
      <c r="F5" s="12">
        <f>Assumptions!F10*0.92</f>
        <v>505.80036000000001</v>
      </c>
      <c r="G5" s="12">
        <f>Assumptions!G10*0.92</f>
        <v>634.16125136000005</v>
      </c>
      <c r="H5" s="12">
        <f>Assumptions!H10*0.92</f>
        <v>767.33511414559996</v>
      </c>
      <c r="I5" s="12">
        <f>Assumptions!I10*0.92</f>
        <v>905.4554346918078</v>
      </c>
    </row>
    <row r="6" spans="1:9" ht="15" customHeight="1" x14ac:dyDescent="0.2">
      <c r="A6" s="7" t="s">
        <v>43</v>
      </c>
      <c r="B6" s="8">
        <v>11</v>
      </c>
      <c r="C6" s="8">
        <v>16</v>
      </c>
      <c r="D6" s="8">
        <v>23</v>
      </c>
      <c r="E6" s="12">
        <f>Assumptions!E10*0.08</f>
        <v>34.632000000000005</v>
      </c>
      <c r="F6" s="12">
        <f>Assumptions!F10*0.08</f>
        <v>43.982640000000004</v>
      </c>
      <c r="G6" s="12">
        <f>Assumptions!G10*0.08</f>
        <v>55.144456640000001</v>
      </c>
      <c r="H6" s="12">
        <f>Assumptions!H10*0.08</f>
        <v>66.724792534399995</v>
      </c>
      <c r="I6" s="12">
        <f>Assumptions!I10*0.08</f>
        <v>78.735255190591985</v>
      </c>
    </row>
    <row r="7" spans="1:9" ht="15" customHeight="1" x14ac:dyDescent="0.2">
      <c r="A7" s="15" t="s">
        <v>44</v>
      </c>
      <c r="B7" s="16">
        <f t="shared" ref="B7:I7" si="0">SUM(B5:B6)</f>
        <v>106</v>
      </c>
      <c r="C7" s="16">
        <f t="shared" si="0"/>
        <v>160</v>
      </c>
      <c r="D7" s="16">
        <f t="shared" si="0"/>
        <v>234</v>
      </c>
      <c r="E7" s="16">
        <f t="shared" si="0"/>
        <v>432.90000000000003</v>
      </c>
      <c r="F7" s="16">
        <f t="shared" si="0"/>
        <v>549.78300000000002</v>
      </c>
      <c r="G7" s="16">
        <f t="shared" si="0"/>
        <v>689.3057080000001</v>
      </c>
      <c r="H7" s="16">
        <f t="shared" si="0"/>
        <v>834.05990667999993</v>
      </c>
      <c r="I7" s="16">
        <f t="shared" si="0"/>
        <v>984.19068988239974</v>
      </c>
    </row>
    <row r="8" spans="1:9" ht="18" customHeight="1" x14ac:dyDescent="0.2">
      <c r="A8" s="3" t="s">
        <v>45</v>
      </c>
      <c r="B8" s="3"/>
      <c r="C8" s="3"/>
      <c r="D8" s="3"/>
      <c r="E8" s="3"/>
      <c r="F8" s="3"/>
      <c r="G8" s="3"/>
      <c r="H8" s="3"/>
      <c r="I8" s="3"/>
    </row>
    <row r="9" spans="1:9" ht="15" customHeight="1" x14ac:dyDescent="0.2">
      <c r="A9" s="7" t="s">
        <v>46</v>
      </c>
      <c r="B9" s="12">
        <f>B7*(1-Assumptions!B12)</f>
        <v>33.919999999999995</v>
      </c>
      <c r="C9" s="12">
        <f>C7*(1-Assumptions!C12)</f>
        <v>48.000000000000007</v>
      </c>
      <c r="D9" s="12">
        <f>D7*(1-Assumptions!D12)</f>
        <v>65.52000000000001</v>
      </c>
      <c r="E9" s="12">
        <f>E7*(1-Assumptions!E12)</f>
        <v>116.88300000000002</v>
      </c>
      <c r="F9" s="12">
        <f>F7*(1-Assumptions!F12)</f>
        <v>142.94358</v>
      </c>
      <c r="G9" s="12">
        <f>G7*(1-Assumptions!G12)</f>
        <v>172.32642700000002</v>
      </c>
      <c r="H9" s="12">
        <f>H7*(1-Assumptions!H12)</f>
        <v>200.17437760319999</v>
      </c>
      <c r="I9" s="12">
        <f>I7*(1-Assumptions!I12)</f>
        <v>226.36385867295192</v>
      </c>
    </row>
    <row r="10" spans="1:9" ht="15" customHeight="1" x14ac:dyDescent="0.2">
      <c r="A10" s="15" t="s">
        <v>47</v>
      </c>
      <c r="B10" s="16">
        <f t="shared" ref="B10:I10" si="1">B7-B9</f>
        <v>72.080000000000013</v>
      </c>
      <c r="C10" s="16">
        <f t="shared" si="1"/>
        <v>112</v>
      </c>
      <c r="D10" s="16">
        <f t="shared" si="1"/>
        <v>168.48</v>
      </c>
      <c r="E10" s="16">
        <f t="shared" si="1"/>
        <v>316.017</v>
      </c>
      <c r="F10" s="16">
        <f t="shared" si="1"/>
        <v>406.83942000000002</v>
      </c>
      <c r="G10" s="16">
        <f t="shared" si="1"/>
        <v>516.97928100000013</v>
      </c>
      <c r="H10" s="16">
        <f t="shared" si="1"/>
        <v>633.88552907679991</v>
      </c>
      <c r="I10" s="16">
        <f t="shared" si="1"/>
        <v>757.82683120944785</v>
      </c>
    </row>
    <row r="11" spans="1:9" ht="15" customHeight="1" x14ac:dyDescent="0.2">
      <c r="A11" s="7" t="s">
        <v>48</v>
      </c>
      <c r="B11" s="11">
        <f t="shared" ref="B11:I11" si="2">B10/B7</f>
        <v>0.68000000000000016</v>
      </c>
      <c r="C11" s="11">
        <f t="shared" si="2"/>
        <v>0.7</v>
      </c>
      <c r="D11" s="11">
        <f t="shared" si="2"/>
        <v>0.72</v>
      </c>
      <c r="E11" s="11">
        <f t="shared" si="2"/>
        <v>0.73</v>
      </c>
      <c r="F11" s="11">
        <f t="shared" si="2"/>
        <v>0.74</v>
      </c>
      <c r="G11" s="11">
        <f t="shared" si="2"/>
        <v>0.75000000000000011</v>
      </c>
      <c r="H11" s="11">
        <f t="shared" si="2"/>
        <v>0.76</v>
      </c>
      <c r="I11" s="11">
        <f t="shared" si="2"/>
        <v>0.77</v>
      </c>
    </row>
    <row r="12" spans="1:9" ht="18" customHeight="1" x14ac:dyDescent="0.2">
      <c r="A12" s="3" t="s">
        <v>49</v>
      </c>
      <c r="B12" s="3"/>
      <c r="C12" s="3"/>
      <c r="D12" s="3"/>
      <c r="E12" s="3"/>
      <c r="F12" s="3"/>
      <c r="G12" s="3"/>
      <c r="H12" s="3"/>
      <c r="I12" s="3"/>
    </row>
    <row r="13" spans="1:9" ht="15" customHeight="1" x14ac:dyDescent="0.2">
      <c r="A13" s="7" t="s">
        <v>50</v>
      </c>
      <c r="B13" s="12">
        <f>B7*Assumptions!B13</f>
        <v>44.519999999999996</v>
      </c>
      <c r="C13" s="12">
        <f>C7*Assumptions!C13</f>
        <v>60.8</v>
      </c>
      <c r="D13" s="12">
        <f>D7*Assumptions!D13</f>
        <v>81.899999999999991</v>
      </c>
      <c r="E13" s="12">
        <f>E7*Assumptions!E13</f>
        <v>142.85700000000003</v>
      </c>
      <c r="F13" s="12">
        <f>F7*Assumptions!F13</f>
        <v>170.43272999999999</v>
      </c>
      <c r="G13" s="12">
        <f>G7*Assumptions!G13</f>
        <v>199.89865532000002</v>
      </c>
      <c r="H13" s="12">
        <f>H7*Assumptions!H13</f>
        <v>225.1961748036</v>
      </c>
      <c r="I13" s="12">
        <f>I7*Assumptions!I13</f>
        <v>246.04767247059993</v>
      </c>
    </row>
    <row r="14" spans="1:9" ht="15" customHeight="1" x14ac:dyDescent="0.2">
      <c r="A14" s="7" t="s">
        <v>51</v>
      </c>
      <c r="B14" s="12">
        <f>B7*Assumptions!B14</f>
        <v>19.079999999999998</v>
      </c>
      <c r="C14" s="12">
        <f>C7*Assumptions!C14</f>
        <v>27.200000000000003</v>
      </c>
      <c r="D14" s="12">
        <f>D7*Assumptions!D14</f>
        <v>37.44</v>
      </c>
      <c r="E14" s="12">
        <f>E7*Assumptions!E14</f>
        <v>64.935000000000002</v>
      </c>
      <c r="F14" s="12">
        <f>F7*Assumptions!F14</f>
        <v>82.467449999999999</v>
      </c>
      <c r="G14" s="12">
        <f>G7*Assumptions!G14</f>
        <v>96.50279912000002</v>
      </c>
      <c r="H14" s="12">
        <f>H7*Assumptions!H14</f>
        <v>116.7683869352</v>
      </c>
      <c r="I14" s="12">
        <f>I7*Assumptions!I14</f>
        <v>127.94478968471196</v>
      </c>
    </row>
    <row r="15" spans="1:9" ht="15" customHeight="1" x14ac:dyDescent="0.2">
      <c r="A15" s="7" t="s">
        <v>52</v>
      </c>
      <c r="B15" s="12">
        <f>B7*Assumptions!B15</f>
        <v>12.719999999999999</v>
      </c>
      <c r="C15" s="12">
        <f>C7*Assumptions!C15</f>
        <v>17.600000000000001</v>
      </c>
      <c r="D15" s="12">
        <f>D7*Assumptions!D15</f>
        <v>23.400000000000002</v>
      </c>
      <c r="E15" s="12">
        <f>E7*Assumptions!E15</f>
        <v>38.960999999999999</v>
      </c>
      <c r="F15" s="12">
        <f>F7*Assumptions!F15</f>
        <v>49.480469999999997</v>
      </c>
      <c r="G15" s="12">
        <f>G7*Assumptions!G15</f>
        <v>55.144456640000008</v>
      </c>
      <c r="H15" s="12">
        <f>H7*Assumptions!H15</f>
        <v>66.724792534399995</v>
      </c>
      <c r="I15" s="12">
        <f>I7*Assumptions!I15</f>
        <v>78.735255190591985</v>
      </c>
    </row>
    <row r="16" spans="1:9" ht="15" customHeight="1" x14ac:dyDescent="0.2">
      <c r="A16" s="7" t="s">
        <v>53</v>
      </c>
      <c r="B16" s="12">
        <f>B7*Assumptions!B16</f>
        <v>3.1799999999999997</v>
      </c>
      <c r="C16" s="12">
        <f>C7*Assumptions!C16</f>
        <v>4.8</v>
      </c>
      <c r="D16" s="12">
        <f>D7*Assumptions!D16</f>
        <v>7.02</v>
      </c>
      <c r="E16" s="12">
        <f>E7*Assumptions!E16</f>
        <v>12.987</v>
      </c>
      <c r="F16" s="12">
        <f>F7*Assumptions!F16</f>
        <v>16.493490000000001</v>
      </c>
      <c r="G16" s="12">
        <f>G7*Assumptions!G16</f>
        <v>20.679171240000002</v>
      </c>
      <c r="H16" s="12">
        <f>H7*Assumptions!H16</f>
        <v>25.021797200399998</v>
      </c>
      <c r="I16" s="12">
        <f>I7*Assumptions!I16</f>
        <v>29.525720696471993</v>
      </c>
    </row>
    <row r="17" spans="1:9" ht="15" customHeight="1" x14ac:dyDescent="0.2">
      <c r="A17" s="15" t="s">
        <v>54</v>
      </c>
      <c r="B17" s="16">
        <f t="shared" ref="B17:I17" si="3">SUM(B13:B16)</f>
        <v>79.5</v>
      </c>
      <c r="C17" s="16">
        <f t="shared" si="3"/>
        <v>110.39999999999999</v>
      </c>
      <c r="D17" s="16">
        <f t="shared" si="3"/>
        <v>149.76</v>
      </c>
      <c r="E17" s="16">
        <f t="shared" si="3"/>
        <v>259.74000000000007</v>
      </c>
      <c r="F17" s="16">
        <f t="shared" si="3"/>
        <v>318.87413999999995</v>
      </c>
      <c r="G17" s="16">
        <f t="shared" si="3"/>
        <v>372.22508232000007</v>
      </c>
      <c r="H17" s="16">
        <f t="shared" si="3"/>
        <v>433.71115147360001</v>
      </c>
      <c r="I17" s="16">
        <f t="shared" si="3"/>
        <v>482.25343804237588</v>
      </c>
    </row>
    <row r="18" spans="1:9" ht="15" customHeight="1" x14ac:dyDescent="0.2">
      <c r="A18" s="15" t="s">
        <v>55</v>
      </c>
      <c r="B18" s="16">
        <f t="shared" ref="B18:I18" si="4">B10-B17</f>
        <v>-7.4199999999999875</v>
      </c>
      <c r="C18" s="16">
        <f t="shared" si="4"/>
        <v>1.6000000000000085</v>
      </c>
      <c r="D18" s="16">
        <f t="shared" si="4"/>
        <v>18.72</v>
      </c>
      <c r="E18" s="16">
        <f t="shared" si="4"/>
        <v>56.27699999999993</v>
      </c>
      <c r="F18" s="16">
        <f t="shared" si="4"/>
        <v>87.965280000000064</v>
      </c>
      <c r="G18" s="16">
        <f t="shared" si="4"/>
        <v>144.75419868000006</v>
      </c>
      <c r="H18" s="16">
        <f t="shared" si="4"/>
        <v>200.1743776031999</v>
      </c>
      <c r="I18" s="16">
        <f t="shared" si="4"/>
        <v>275.57339316707197</v>
      </c>
    </row>
    <row r="19" spans="1:9" ht="15" customHeight="1" x14ac:dyDescent="0.2">
      <c r="A19" s="7" t="s">
        <v>56</v>
      </c>
      <c r="B19" s="11">
        <f t="shared" ref="B19:I19" si="5">IFERROR(B18/B7,0)</f>
        <v>-6.9999999999999882E-2</v>
      </c>
      <c r="C19" s="11">
        <f t="shared" si="5"/>
        <v>1.0000000000000054E-2</v>
      </c>
      <c r="D19" s="11">
        <f t="shared" si="5"/>
        <v>0.08</v>
      </c>
      <c r="E19" s="11">
        <f t="shared" si="5"/>
        <v>0.12999999999999984</v>
      </c>
      <c r="F19" s="11">
        <f t="shared" si="5"/>
        <v>0.16000000000000011</v>
      </c>
      <c r="G19" s="11">
        <f t="shared" si="5"/>
        <v>0.21000000000000005</v>
      </c>
      <c r="H19" s="11">
        <f t="shared" si="5"/>
        <v>0.23999999999999991</v>
      </c>
      <c r="I19" s="11">
        <f t="shared" si="5"/>
        <v>0.28000000000000003</v>
      </c>
    </row>
    <row r="20" spans="1:9" ht="18" customHeight="1" x14ac:dyDescent="0.2">
      <c r="A20" s="3" t="s">
        <v>57</v>
      </c>
      <c r="B20" s="3"/>
      <c r="C20" s="3"/>
      <c r="D20" s="3"/>
      <c r="E20" s="3"/>
      <c r="F20" s="3"/>
      <c r="G20" s="3"/>
      <c r="H20" s="3"/>
      <c r="I20" s="3"/>
    </row>
    <row r="21" spans="1:9" ht="15" customHeight="1" x14ac:dyDescent="0.2">
      <c r="A21" s="7" t="s">
        <v>58</v>
      </c>
      <c r="B21" s="8">
        <v>2</v>
      </c>
      <c r="C21" s="8">
        <v>2</v>
      </c>
      <c r="D21" s="8">
        <v>2</v>
      </c>
      <c r="E21" s="8">
        <v>3</v>
      </c>
      <c r="F21" s="8">
        <v>3</v>
      </c>
      <c r="G21" s="8">
        <v>3</v>
      </c>
      <c r="H21" s="8">
        <v>3</v>
      </c>
      <c r="I21" s="8">
        <v>3</v>
      </c>
    </row>
    <row r="22" spans="1:9" ht="15" customHeight="1" x14ac:dyDescent="0.2">
      <c r="A22" s="15" t="s">
        <v>59</v>
      </c>
      <c r="B22" s="16">
        <f t="shared" ref="B22:I22" si="6">B18+B21</f>
        <v>-5.4199999999999875</v>
      </c>
      <c r="C22" s="16">
        <f t="shared" si="6"/>
        <v>3.6000000000000085</v>
      </c>
      <c r="D22" s="16">
        <f t="shared" si="6"/>
        <v>20.72</v>
      </c>
      <c r="E22" s="16">
        <f t="shared" si="6"/>
        <v>59.27699999999993</v>
      </c>
      <c r="F22" s="16">
        <f t="shared" si="6"/>
        <v>90.965280000000064</v>
      </c>
      <c r="G22" s="16">
        <f t="shared" si="6"/>
        <v>147.75419868000006</v>
      </c>
      <c r="H22" s="16">
        <f t="shared" si="6"/>
        <v>203.1743776031999</v>
      </c>
      <c r="I22" s="16">
        <f t="shared" si="6"/>
        <v>278.57339316707197</v>
      </c>
    </row>
    <row r="23" spans="1:9" ht="15" customHeight="1" x14ac:dyDescent="0.2">
      <c r="A23" s="7" t="s">
        <v>60</v>
      </c>
      <c r="B23" s="12">
        <f>MAX(0,B22*Assumptions!B17)</f>
        <v>0</v>
      </c>
      <c r="C23" s="12">
        <f>MAX(0,C22*Assumptions!B17)</f>
        <v>0.75600000000000178</v>
      </c>
      <c r="D23" s="12">
        <f>MAX(0,D22*Assumptions!B17)</f>
        <v>4.3511999999999995</v>
      </c>
      <c r="E23" s="12">
        <f>MAX(0,E22*Assumptions!B17)</f>
        <v>12.448169999999985</v>
      </c>
      <c r="F23" s="12">
        <f>MAX(0,F22*Assumptions!B17)</f>
        <v>19.102708800000013</v>
      </c>
      <c r="G23" s="12">
        <f>MAX(0,G22*Assumptions!B17)</f>
        <v>31.02838172280001</v>
      </c>
      <c r="H23" s="12">
        <f>MAX(0,H22*Assumptions!B17)</f>
        <v>42.666619296671975</v>
      </c>
      <c r="I23" s="12">
        <f>MAX(0,I22*Assumptions!B17)</f>
        <v>58.500412565085114</v>
      </c>
    </row>
    <row r="24" spans="1:9" ht="15" customHeight="1" x14ac:dyDescent="0.2">
      <c r="A24" s="15" t="s">
        <v>61</v>
      </c>
      <c r="B24" s="16">
        <f t="shared" ref="B24:I24" si="7">B22-B23</f>
        <v>-5.4199999999999875</v>
      </c>
      <c r="C24" s="16">
        <f t="shared" si="7"/>
        <v>2.8440000000000065</v>
      </c>
      <c r="D24" s="16">
        <f t="shared" si="7"/>
        <v>16.3688</v>
      </c>
      <c r="E24" s="16">
        <f t="shared" si="7"/>
        <v>46.828829999999947</v>
      </c>
      <c r="F24" s="16">
        <f t="shared" si="7"/>
        <v>71.862571200000048</v>
      </c>
      <c r="G24" s="16">
        <f t="shared" si="7"/>
        <v>116.72581695720005</v>
      </c>
      <c r="H24" s="16">
        <f t="shared" si="7"/>
        <v>160.50775830652793</v>
      </c>
      <c r="I24" s="16">
        <f t="shared" si="7"/>
        <v>220.07298060198684</v>
      </c>
    </row>
    <row r="25" spans="1:9" ht="15" customHeight="1" x14ac:dyDescent="0.2">
      <c r="A25" s="7" t="s">
        <v>62</v>
      </c>
      <c r="B25" s="11">
        <f t="shared" ref="B25:I25" si="8">IFERROR(B24/B7,0)</f>
        <v>-5.1132075471697992E-2</v>
      </c>
      <c r="C25" s="11">
        <f t="shared" si="8"/>
        <v>1.7775000000000041E-2</v>
      </c>
      <c r="D25" s="11">
        <f t="shared" si="8"/>
        <v>6.9952136752136754E-2</v>
      </c>
      <c r="E25" s="11">
        <f t="shared" si="8"/>
        <v>0.10817470547470534</v>
      </c>
      <c r="F25" s="11">
        <f t="shared" si="8"/>
        <v>0.1307107917123666</v>
      </c>
      <c r="G25" s="11">
        <f t="shared" si="8"/>
        <v>0.16933824223779681</v>
      </c>
      <c r="H25" s="11">
        <f t="shared" si="8"/>
        <v>0.19244152251057578</v>
      </c>
      <c r="I25" s="11">
        <f t="shared" si="8"/>
        <v>0.22360806992421683</v>
      </c>
    </row>
    <row r="26" spans="1:9" ht="18" customHeight="1" x14ac:dyDescent="0.2">
      <c r="A26" s="3" t="s">
        <v>63</v>
      </c>
      <c r="B26" s="3"/>
      <c r="C26" s="3"/>
      <c r="D26" s="3"/>
      <c r="E26" s="3"/>
      <c r="F26" s="3"/>
      <c r="G26" s="3"/>
      <c r="H26" s="3"/>
      <c r="I26" s="3"/>
    </row>
    <row r="27" spans="1:9" ht="15" customHeight="1" x14ac:dyDescent="0.2">
      <c r="A27" s="15" t="s">
        <v>64</v>
      </c>
      <c r="B27" s="17">
        <f t="shared" ref="B27:I27" si="9">B18+B16</f>
        <v>-4.2399999999999878</v>
      </c>
      <c r="C27" s="17">
        <f t="shared" si="9"/>
        <v>6.4000000000000083</v>
      </c>
      <c r="D27" s="17">
        <f t="shared" si="9"/>
        <v>25.74</v>
      </c>
      <c r="E27" s="17">
        <f t="shared" si="9"/>
        <v>69.263999999999925</v>
      </c>
      <c r="F27" s="17">
        <f t="shared" si="9"/>
        <v>104.45877000000007</v>
      </c>
      <c r="G27" s="17">
        <f t="shared" si="9"/>
        <v>165.43336992000008</v>
      </c>
      <c r="H27" s="17">
        <f t="shared" si="9"/>
        <v>225.19617480359989</v>
      </c>
      <c r="I27" s="17">
        <f t="shared" si="9"/>
        <v>305.09911386354395</v>
      </c>
    </row>
    <row r="28" spans="1:9" ht="15" customHeight="1" x14ac:dyDescent="0.2">
      <c r="A28" s="7" t="s">
        <v>65</v>
      </c>
      <c r="B28" s="11">
        <f t="shared" ref="B28:I28" si="10">IFERROR(B27/B7,0)</f>
        <v>-3.9999999999999883E-2</v>
      </c>
      <c r="C28" s="11">
        <f t="shared" si="10"/>
        <v>4.0000000000000049E-2</v>
      </c>
      <c r="D28" s="11">
        <f t="shared" si="10"/>
        <v>0.10999999999999999</v>
      </c>
      <c r="E28" s="11">
        <f t="shared" si="10"/>
        <v>0.15999999999999981</v>
      </c>
      <c r="F28" s="11">
        <f t="shared" si="10"/>
        <v>0.19000000000000011</v>
      </c>
      <c r="G28" s="11">
        <f t="shared" si="10"/>
        <v>0.24000000000000007</v>
      </c>
      <c r="H28" s="11">
        <f t="shared" si="10"/>
        <v>0.26999999999999991</v>
      </c>
      <c r="I28" s="11">
        <f t="shared" si="10"/>
        <v>0.31000000000000005</v>
      </c>
    </row>
    <row r="29" spans="1:9" ht="15" customHeight="1" x14ac:dyDescent="0.2">
      <c r="A29" s="7" t="s">
        <v>66</v>
      </c>
      <c r="B29" s="9" t="s">
        <v>13</v>
      </c>
      <c r="C29" s="11">
        <f t="shared" ref="C29:I29" si="11">IFERROR(C7/B7-1,0)</f>
        <v>0.50943396226415105</v>
      </c>
      <c r="D29" s="11">
        <f t="shared" si="11"/>
        <v>0.46249999999999991</v>
      </c>
      <c r="E29" s="11">
        <f t="shared" si="11"/>
        <v>0.85000000000000009</v>
      </c>
      <c r="F29" s="11">
        <f t="shared" si="11"/>
        <v>0.27</v>
      </c>
      <c r="G29" s="11">
        <f t="shared" si="11"/>
        <v>0.25377777777777788</v>
      </c>
      <c r="H29" s="11">
        <f t="shared" si="11"/>
        <v>0.20999999999999974</v>
      </c>
      <c r="I29" s="11">
        <f t="shared" si="11"/>
        <v>0.17999999999999972</v>
      </c>
    </row>
  </sheetData>
  <mergeCells count="6">
    <mergeCell ref="A26:I26"/>
    <mergeCell ref="A1:I1"/>
    <mergeCell ref="A4:I4"/>
    <mergeCell ref="A8:I8"/>
    <mergeCell ref="A12:I12"/>
    <mergeCell ref="A20:I2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I21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I1"/>
    </sheetView>
  </sheetViews>
  <sheetFormatPr baseColWidth="10" defaultColWidth="8.6640625" defaultRowHeight="15" x14ac:dyDescent="0.2"/>
  <cols>
    <col min="1" max="1" width="32" customWidth="1"/>
    <col min="2" max="9" width="13" customWidth="1"/>
  </cols>
  <sheetData>
    <row r="1" spans="1:9" ht="21.75" customHeight="1" x14ac:dyDescent="0.2">
      <c r="A1" s="4" t="s">
        <v>67</v>
      </c>
      <c r="B1" s="4"/>
      <c r="C1" s="4"/>
      <c r="D1" s="4"/>
      <c r="E1" s="4"/>
      <c r="F1" s="4"/>
      <c r="G1" s="4"/>
      <c r="H1" s="4"/>
      <c r="I1" s="4"/>
    </row>
    <row r="2" spans="1:9" ht="30" customHeight="1" x14ac:dyDescent="0.2">
      <c r="A2" s="6"/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</row>
    <row r="3" spans="1:9" ht="18" customHeight="1" x14ac:dyDescent="0.2">
      <c r="A3" s="3" t="s">
        <v>68</v>
      </c>
      <c r="B3" s="3"/>
      <c r="C3" s="3"/>
      <c r="D3" s="3"/>
      <c r="E3" s="3"/>
      <c r="F3" s="3"/>
      <c r="G3" s="3"/>
      <c r="H3" s="3"/>
      <c r="I3" s="3"/>
    </row>
    <row r="4" spans="1:9" ht="15" customHeight="1" x14ac:dyDescent="0.2">
      <c r="A4" s="7" t="s">
        <v>69</v>
      </c>
      <c r="B4" s="12">
        <f>'Income Statement'!B24</f>
        <v>-5.4199999999999875</v>
      </c>
      <c r="C4" s="12">
        <f>'Income Statement'!C24</f>
        <v>2.8440000000000065</v>
      </c>
      <c r="D4" s="12">
        <f>'Income Statement'!D24</f>
        <v>16.3688</v>
      </c>
      <c r="E4" s="12">
        <f>'Income Statement'!E24</f>
        <v>46.828829999999947</v>
      </c>
      <c r="F4" s="12">
        <f>'Income Statement'!F24</f>
        <v>71.862571200000048</v>
      </c>
      <c r="G4" s="12">
        <f>'Income Statement'!G24</f>
        <v>116.72581695720005</v>
      </c>
      <c r="H4" s="12">
        <f>'Income Statement'!H24</f>
        <v>160.50775830652793</v>
      </c>
      <c r="I4" s="12">
        <f>'Income Statement'!I24</f>
        <v>220.07298060198684</v>
      </c>
    </row>
    <row r="5" spans="1:9" ht="15" customHeight="1" x14ac:dyDescent="0.2">
      <c r="A5" s="7" t="s">
        <v>70</v>
      </c>
      <c r="B5" s="12">
        <f>'Income Statement'!B16</f>
        <v>3.1799999999999997</v>
      </c>
      <c r="C5" s="12">
        <f>'Income Statement'!C16</f>
        <v>4.8</v>
      </c>
      <c r="D5" s="12">
        <f>'Income Statement'!D16</f>
        <v>7.02</v>
      </c>
      <c r="E5" s="12">
        <f>'Income Statement'!E16</f>
        <v>12.987</v>
      </c>
      <c r="F5" s="12">
        <f>'Income Statement'!F16</f>
        <v>16.493490000000001</v>
      </c>
      <c r="G5" s="12">
        <f>'Income Statement'!G16</f>
        <v>20.679171240000002</v>
      </c>
      <c r="H5" s="12">
        <f>'Income Statement'!H16</f>
        <v>25.021797200399998</v>
      </c>
      <c r="I5" s="12">
        <f>'Income Statement'!I16</f>
        <v>29.525720696471993</v>
      </c>
    </row>
    <row r="6" spans="1:9" ht="15" customHeight="1" x14ac:dyDescent="0.2">
      <c r="A6" s="7" t="s">
        <v>71</v>
      </c>
      <c r="B6" s="18">
        <v>0</v>
      </c>
      <c r="C6" s="12">
        <f>-('Income Statement'!C7/365*Assumptions!C19-'Income Statement'!B7/365*Assumptions!B19)</f>
        <v>-6.8219178082191778</v>
      </c>
      <c r="D6" s="12">
        <f>-('Income Statement'!D7/365*Assumptions!D19-'Income Statement'!C7/365*Assumptions!C19)</f>
        <v>-9.2602739726027394</v>
      </c>
      <c r="E6" s="12">
        <f>-('Income Statement'!E7/365*Assumptions!E19-'Income Statement'!D7/365*Assumptions!D19)</f>
        <v>-24.874520547945217</v>
      </c>
      <c r="F6" s="12">
        <f>-('Income Statement'!F7/365*Assumptions!F19-'Income Statement'!E7/365*Assumptions!E19)</f>
        <v>-12.358405479452053</v>
      </c>
      <c r="G6" s="12">
        <f>-('Income Statement'!G7/365*Assumptions!G19-'Income Statement'!F7/365*Assumptions!F19)</f>
        <v>-13.806666169863021</v>
      </c>
      <c r="H6" s="12">
        <f>-('Income Statement'!H7/365*Assumptions!H19-'Income Statement'!G7/365*Assumptions!G19)</f>
        <v>-12.879629941260248</v>
      </c>
      <c r="I6" s="12">
        <f>-('Income Statement'!I7/365*Assumptions!I19-'Income Statement'!H7/365*Assumptions!H19)</f>
        <v>-11.882497300646563</v>
      </c>
    </row>
    <row r="7" spans="1:9" ht="15" customHeight="1" x14ac:dyDescent="0.2">
      <c r="A7" s="7" t="s">
        <v>72</v>
      </c>
      <c r="B7" s="18">
        <v>0</v>
      </c>
      <c r="C7" s="12">
        <f>'Income Statement'!C7/365*Assumptions!C21-'Income Statement'!B7/365*Assumptions!B21</f>
        <v>13.31506849315069</v>
      </c>
      <c r="D7" s="12">
        <f>'Income Statement'!D7/365*Assumptions!D21-'Income Statement'!C7/365*Assumptions!C21</f>
        <v>19.528767123287672</v>
      </c>
      <c r="E7" s="12">
        <f>'Income Statement'!E7/365*Assumptions!E21-'Income Statement'!D7/365*Assumptions!D21</f>
        <v>50.133698630136998</v>
      </c>
      <c r="F7" s="12">
        <f>'Income Statement'!F7/365*Assumptions!F21-'Income Statement'!E7/365*Assumptions!E21</f>
        <v>30.967175342465751</v>
      </c>
      <c r="G7" s="12">
        <f>'Income Statement'!G7/365*Assumptions!G21-'Income Statement'!F7/365*Assumptions!F21</f>
        <v>35.549621490410971</v>
      </c>
      <c r="H7" s="12">
        <f>'Income Statement'!H7/365*Assumptions!H21-'Income Statement'!G7/365*Assumptions!G21</f>
        <v>39.167672284712296</v>
      </c>
      <c r="I7" s="12">
        <f>'Income Statement'!I7/365*Assumptions!I21-'Income Statement'!H7/365*Assumptions!H21</f>
        <v>38.66381813979612</v>
      </c>
    </row>
    <row r="8" spans="1:9" ht="15" customHeight="1" x14ac:dyDescent="0.2">
      <c r="A8" s="7" t="s">
        <v>73</v>
      </c>
      <c r="B8" s="18">
        <v>0</v>
      </c>
      <c r="C8" s="12">
        <f>'Income Statement'!C9/365*Assumptions!C20-'Income Statement'!B9/365*Assumptions!B20</f>
        <v>1.1572602739726037</v>
      </c>
      <c r="D8" s="12">
        <f>'Income Statement'!D9/365*Assumptions!D20-'Income Statement'!C9/365*Assumptions!C20</f>
        <v>1.7990136986301373</v>
      </c>
      <c r="E8" s="12">
        <f>'Income Statement'!E9/365*Assumptions!E20-'Income Statement'!D9/365*Assumptions!D20</f>
        <v>4.5030575342465768</v>
      </c>
      <c r="F8" s="12">
        <f>'Income Statement'!F9/365*Assumptions!F20-'Income Statement'!E9/365*Assumptions!E20</f>
        <v>2.6763894246575308</v>
      </c>
      <c r="G8" s="12">
        <f>'Income Statement'!G9/365*Assumptions!G20-'Income Statement'!F9/365*Assumptions!F20</f>
        <v>2.6565313726027426</v>
      </c>
      <c r="H8" s="12">
        <f>'Income Statement'!H9/365*Assumptions!H20-'Income Statement'!G9/365*Assumptions!G20</f>
        <v>3.0661828698871201</v>
      </c>
      <c r="I8" s="12">
        <f>'Income Statement'!I9/365*Assumptions!I20-'Income Statement'!H9/365*Assumptions!H20</f>
        <v>2.4395680996481239</v>
      </c>
    </row>
    <row r="9" spans="1:9" ht="15" customHeight="1" x14ac:dyDescent="0.2">
      <c r="A9" s="15" t="s">
        <v>74</v>
      </c>
      <c r="B9" s="16">
        <f t="shared" ref="B9:I9" si="0">SUM(B4:B8)</f>
        <v>-2.2399999999999878</v>
      </c>
      <c r="C9" s="16">
        <f t="shared" si="0"/>
        <v>15.294410958904123</v>
      </c>
      <c r="D9" s="16">
        <f t="shared" si="0"/>
        <v>35.456306849315069</v>
      </c>
      <c r="E9" s="16">
        <f t="shared" si="0"/>
        <v>89.578065616438309</v>
      </c>
      <c r="F9" s="16">
        <f t="shared" si="0"/>
        <v>109.64122048767129</v>
      </c>
      <c r="G9" s="16">
        <f t="shared" si="0"/>
        <v>161.80447489035072</v>
      </c>
      <c r="H9" s="16">
        <f t="shared" si="0"/>
        <v>214.88378072026708</v>
      </c>
      <c r="I9" s="16">
        <f t="shared" si="0"/>
        <v>278.81959023725653</v>
      </c>
    </row>
    <row r="10" spans="1:9" ht="18" customHeight="1" x14ac:dyDescent="0.2">
      <c r="A10" s="3" t="s">
        <v>75</v>
      </c>
      <c r="B10" s="3"/>
      <c r="C10" s="3"/>
      <c r="D10" s="3"/>
      <c r="E10" s="3"/>
      <c r="F10" s="3"/>
      <c r="G10" s="3"/>
      <c r="H10" s="3"/>
      <c r="I10" s="3"/>
    </row>
    <row r="11" spans="1:9" ht="15" customHeight="1" x14ac:dyDescent="0.2">
      <c r="A11" s="7" t="s">
        <v>76</v>
      </c>
      <c r="B11" s="12">
        <f>-('Income Statement'!B7*Assumptions!B22)</f>
        <v>-4.24</v>
      </c>
      <c r="C11" s="12">
        <f>-('Income Statement'!C7*Assumptions!C22)</f>
        <v>-6.4</v>
      </c>
      <c r="D11" s="12">
        <f>-('Income Statement'!D7*Assumptions!D22)</f>
        <v>-7.02</v>
      </c>
      <c r="E11" s="12">
        <f>-('Income Statement'!E7*Assumptions!E22)</f>
        <v>-12.987</v>
      </c>
      <c r="F11" s="12">
        <f>-('Income Statement'!F7*Assumptions!F22)</f>
        <v>-16.493490000000001</v>
      </c>
      <c r="G11" s="12">
        <f>-('Income Statement'!G7*Assumptions!G22)</f>
        <v>-20.679171240000002</v>
      </c>
      <c r="H11" s="12">
        <f>-('Income Statement'!H7*Assumptions!H22)</f>
        <v>-16.681198133599999</v>
      </c>
      <c r="I11" s="12">
        <f>-('Income Statement'!I7*Assumptions!I22)</f>
        <v>-19.683813797647996</v>
      </c>
    </row>
    <row r="12" spans="1:9" ht="15" customHeight="1" x14ac:dyDescent="0.2">
      <c r="A12" s="15" t="s">
        <v>77</v>
      </c>
      <c r="B12" s="16">
        <f t="shared" ref="B12:I12" si="1">B11</f>
        <v>-4.24</v>
      </c>
      <c r="C12" s="16">
        <f t="shared" si="1"/>
        <v>-6.4</v>
      </c>
      <c r="D12" s="16">
        <f t="shared" si="1"/>
        <v>-7.02</v>
      </c>
      <c r="E12" s="16">
        <f t="shared" si="1"/>
        <v>-12.987</v>
      </c>
      <c r="F12" s="16">
        <f t="shared" si="1"/>
        <v>-16.493490000000001</v>
      </c>
      <c r="G12" s="16">
        <f t="shared" si="1"/>
        <v>-20.679171240000002</v>
      </c>
      <c r="H12" s="16">
        <f t="shared" si="1"/>
        <v>-16.681198133599999</v>
      </c>
      <c r="I12" s="16">
        <f t="shared" si="1"/>
        <v>-19.683813797647996</v>
      </c>
    </row>
    <row r="13" spans="1:9" ht="18" customHeight="1" x14ac:dyDescent="0.2">
      <c r="A13" s="3" t="s">
        <v>78</v>
      </c>
      <c r="B13" s="3"/>
      <c r="C13" s="3"/>
      <c r="D13" s="3"/>
      <c r="E13" s="3"/>
      <c r="F13" s="3"/>
      <c r="G13" s="3"/>
      <c r="H13" s="3"/>
      <c r="I13" s="3"/>
    </row>
    <row r="14" spans="1:9" ht="15" customHeight="1" x14ac:dyDescent="0.2">
      <c r="A14" s="7" t="s">
        <v>79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</row>
    <row r="15" spans="1:9" ht="15" customHeight="1" x14ac:dyDescent="0.2">
      <c r="A15" s="7" t="s">
        <v>80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</row>
    <row r="16" spans="1:9" ht="15" customHeight="1" x14ac:dyDescent="0.2">
      <c r="A16" s="15" t="s">
        <v>81</v>
      </c>
      <c r="B16" s="16">
        <f t="shared" ref="B16:I16" si="2">SUM(B14:B15)</f>
        <v>0</v>
      </c>
      <c r="C16" s="16">
        <f t="shared" si="2"/>
        <v>0</v>
      </c>
      <c r="D16" s="16">
        <f t="shared" si="2"/>
        <v>0</v>
      </c>
      <c r="E16" s="16">
        <f t="shared" si="2"/>
        <v>0</v>
      </c>
      <c r="F16" s="16">
        <f t="shared" si="2"/>
        <v>0</v>
      </c>
      <c r="G16" s="16">
        <f t="shared" si="2"/>
        <v>0</v>
      </c>
      <c r="H16" s="16">
        <f t="shared" si="2"/>
        <v>0</v>
      </c>
      <c r="I16" s="16">
        <f t="shared" si="2"/>
        <v>0</v>
      </c>
    </row>
    <row r="17" spans="1:9" ht="15" customHeight="1" x14ac:dyDescent="0.2">
      <c r="A17" s="15" t="s">
        <v>82</v>
      </c>
      <c r="B17" s="17">
        <f t="shared" ref="B17:I17" si="3">B9+B12+B16</f>
        <v>-6.479999999999988</v>
      </c>
      <c r="C17" s="17">
        <f t="shared" si="3"/>
        <v>8.8944109589041229</v>
      </c>
      <c r="D17" s="17">
        <f t="shared" si="3"/>
        <v>28.43630684931507</v>
      </c>
      <c r="E17" s="17">
        <f t="shared" si="3"/>
        <v>76.591065616438314</v>
      </c>
      <c r="F17" s="17">
        <f t="shared" si="3"/>
        <v>93.147730487671282</v>
      </c>
      <c r="G17" s="17">
        <f t="shared" si="3"/>
        <v>141.1253036503507</v>
      </c>
      <c r="H17" s="17">
        <f t="shared" si="3"/>
        <v>198.20258258666709</v>
      </c>
      <c r="I17" s="17">
        <f t="shared" si="3"/>
        <v>259.13577643960855</v>
      </c>
    </row>
    <row r="18" spans="1:9" ht="15" customHeight="1" x14ac:dyDescent="0.2">
      <c r="A18" s="7" t="s">
        <v>83</v>
      </c>
      <c r="B18" s="19">
        <v>45</v>
      </c>
      <c r="C18" s="12">
        <f t="shared" ref="C18:I18" si="4">B19</f>
        <v>38.52000000000001</v>
      </c>
      <c r="D18" s="12">
        <f t="shared" si="4"/>
        <v>47.414410958904135</v>
      </c>
      <c r="E18" s="12">
        <f t="shared" si="4"/>
        <v>75.850717808219201</v>
      </c>
      <c r="F18" s="12">
        <f t="shared" si="4"/>
        <v>152.4417834246575</v>
      </c>
      <c r="G18" s="12">
        <f t="shared" si="4"/>
        <v>245.58951391232878</v>
      </c>
      <c r="H18" s="12">
        <f t="shared" si="4"/>
        <v>386.71481756267951</v>
      </c>
      <c r="I18" s="12">
        <f t="shared" si="4"/>
        <v>584.91740014934658</v>
      </c>
    </row>
    <row r="19" spans="1:9" ht="15" customHeight="1" x14ac:dyDescent="0.2">
      <c r="A19" s="15" t="s">
        <v>84</v>
      </c>
      <c r="B19" s="16">
        <f t="shared" ref="B19:I19" si="5">B18+B17</f>
        <v>38.52000000000001</v>
      </c>
      <c r="C19" s="16">
        <f t="shared" si="5"/>
        <v>47.414410958904135</v>
      </c>
      <c r="D19" s="16">
        <f t="shared" si="5"/>
        <v>75.850717808219201</v>
      </c>
      <c r="E19" s="16">
        <f t="shared" si="5"/>
        <v>152.4417834246575</v>
      </c>
      <c r="F19" s="16">
        <f t="shared" si="5"/>
        <v>245.58951391232878</v>
      </c>
      <c r="G19" s="16">
        <f t="shared" si="5"/>
        <v>386.71481756267951</v>
      </c>
      <c r="H19" s="16">
        <f t="shared" si="5"/>
        <v>584.91740014934658</v>
      </c>
      <c r="I19" s="16">
        <f t="shared" si="5"/>
        <v>844.05317658895513</v>
      </c>
    </row>
    <row r="20" spans="1:9" ht="15" customHeight="1" x14ac:dyDescent="0.2">
      <c r="A20" s="15" t="s">
        <v>85</v>
      </c>
      <c r="B20" s="17">
        <f t="shared" ref="B20:I20" si="6">B9+B11</f>
        <v>-6.479999999999988</v>
      </c>
      <c r="C20" s="17">
        <f t="shared" si="6"/>
        <v>8.8944109589041229</v>
      </c>
      <c r="D20" s="17">
        <f t="shared" si="6"/>
        <v>28.43630684931507</v>
      </c>
      <c r="E20" s="17">
        <f t="shared" si="6"/>
        <v>76.591065616438314</v>
      </c>
      <c r="F20" s="17">
        <f t="shared" si="6"/>
        <v>93.147730487671282</v>
      </c>
      <c r="G20" s="17">
        <f t="shared" si="6"/>
        <v>141.1253036503507</v>
      </c>
      <c r="H20" s="17">
        <f t="shared" si="6"/>
        <v>198.20258258666709</v>
      </c>
      <c r="I20" s="17">
        <f t="shared" si="6"/>
        <v>259.13577643960855</v>
      </c>
    </row>
    <row r="21" spans="1:9" ht="15" customHeight="1" x14ac:dyDescent="0.2">
      <c r="A21" s="7" t="s">
        <v>86</v>
      </c>
      <c r="B21" s="11">
        <f>IFERROR(B20/'Income Statement'!B7,0)</f>
        <v>-6.1132075471698001E-2</v>
      </c>
      <c r="C21" s="11">
        <f>IFERROR(C20/'Income Statement'!C7,0)</f>
        <v>5.559006849315077E-2</v>
      </c>
      <c r="D21" s="11">
        <f>IFERROR(D20/'Income Statement'!D7,0)</f>
        <v>0.12152267884322679</v>
      </c>
      <c r="E21" s="11">
        <f>IFERROR(E20/'Income Statement'!E7,0)</f>
        <v>0.17692553849951098</v>
      </c>
      <c r="F21" s="11">
        <f>IFERROR(F20/'Income Statement'!F7,0)</f>
        <v>0.16942635637637263</v>
      </c>
      <c r="G21" s="11">
        <f>IFERROR(G20/'Income Statement'!G7,0)</f>
        <v>0.20473543452849324</v>
      </c>
      <c r="H21" s="11">
        <f>IFERROR(H20/'Income Statement'!H7,0)</f>
        <v>0.23763590720433778</v>
      </c>
      <c r="I21" s="11">
        <f>IFERROR(I20/'Income Statement'!I7,0)</f>
        <v>0.26329834157501786</v>
      </c>
    </row>
  </sheetData>
  <mergeCells count="4">
    <mergeCell ref="A1:I1"/>
    <mergeCell ref="A3:I3"/>
    <mergeCell ref="A10:I10"/>
    <mergeCell ref="A13:I1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I28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26" sqref="F26"/>
    </sheetView>
  </sheetViews>
  <sheetFormatPr baseColWidth="10" defaultColWidth="8.6640625" defaultRowHeight="15" x14ac:dyDescent="0.2"/>
  <cols>
    <col min="1" max="1" width="32" customWidth="1"/>
    <col min="2" max="7" width="13" customWidth="1"/>
    <col min="8" max="9" width="22" customWidth="1"/>
  </cols>
  <sheetData>
    <row r="1" spans="1:9" ht="21.75" customHeight="1" x14ac:dyDescent="0.2">
      <c r="A1" s="4" t="s">
        <v>87</v>
      </c>
      <c r="B1" s="4"/>
      <c r="C1" s="4"/>
      <c r="D1" s="4"/>
      <c r="E1" s="4"/>
      <c r="F1" s="4"/>
      <c r="G1" s="4"/>
      <c r="H1" s="4"/>
      <c r="I1" s="4"/>
    </row>
    <row r="2" spans="1:9" ht="30" customHeight="1" x14ac:dyDescent="0.2">
      <c r="A2" s="6"/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</row>
    <row r="3" spans="1:9" ht="18" customHeight="1" x14ac:dyDescent="0.2">
      <c r="A3" s="3" t="s">
        <v>88</v>
      </c>
      <c r="B3" s="3"/>
      <c r="C3" s="3"/>
      <c r="D3" s="3"/>
      <c r="E3" s="3"/>
      <c r="F3" s="3"/>
      <c r="G3" s="3"/>
      <c r="H3" s="3"/>
      <c r="I3" s="3"/>
    </row>
    <row r="4" spans="1:9" ht="15" customHeight="1" x14ac:dyDescent="0.2">
      <c r="A4" s="7" t="s">
        <v>89</v>
      </c>
      <c r="B4" s="12">
        <f>'Cash Flow Statement'!B20</f>
        <v>-6.479999999999988</v>
      </c>
      <c r="C4" s="12">
        <f>'Cash Flow Statement'!C20</f>
        <v>8.8944109589041229</v>
      </c>
      <c r="D4" s="12">
        <f>'Cash Flow Statement'!D20</f>
        <v>28.43630684931507</v>
      </c>
      <c r="E4" s="12">
        <f>'Cash Flow Statement'!E20</f>
        <v>76.591065616438314</v>
      </c>
      <c r="F4" s="12">
        <f>'Cash Flow Statement'!F20</f>
        <v>93.147730487671282</v>
      </c>
    </row>
    <row r="5" spans="1:9" ht="15" customHeight="1" x14ac:dyDescent="0.2">
      <c r="A5" s="7" t="s">
        <v>90</v>
      </c>
      <c r="B5" s="20">
        <v>1</v>
      </c>
      <c r="C5" s="20">
        <v>2</v>
      </c>
      <c r="D5" s="20">
        <v>3</v>
      </c>
      <c r="E5" s="20">
        <v>4</v>
      </c>
      <c r="F5" s="20">
        <v>5</v>
      </c>
    </row>
    <row r="6" spans="1:9" ht="15" customHeight="1" x14ac:dyDescent="0.2">
      <c r="A6" s="7" t="s">
        <v>91</v>
      </c>
      <c r="B6" s="21">
        <f>1/(1+Assumptions!B24)^1</f>
        <v>0.90909090909090906</v>
      </c>
      <c r="C6" s="21">
        <f>1/(1+Assumptions!B24)^2</f>
        <v>0.82644628099173545</v>
      </c>
      <c r="D6" s="21">
        <f>1/(1+Assumptions!B24)^3</f>
        <v>0.75131480090157754</v>
      </c>
      <c r="E6" s="21">
        <f>1/(1+Assumptions!B24)^4</f>
        <v>0.68301345536507052</v>
      </c>
      <c r="F6" s="21">
        <f>1/(1+Assumptions!B24)^5</f>
        <v>0.62092132305915493</v>
      </c>
    </row>
    <row r="7" spans="1:9" ht="15" customHeight="1" x14ac:dyDescent="0.2">
      <c r="A7" s="7" t="s">
        <v>92</v>
      </c>
      <c r="B7" s="12">
        <f>B4*B6</f>
        <v>-5.89090909090908</v>
      </c>
      <c r="C7" s="12">
        <f>C4*C6</f>
        <v>7.3507528585984483</v>
      </c>
      <c r="D7" s="12">
        <f>D4*D6</f>
        <v>21.364618218869317</v>
      </c>
      <c r="E7" s="12">
        <f>E4*E6</f>
        <v>52.312728376776377</v>
      </c>
      <c r="F7" s="12">
        <f>F4*F6</f>
        <v>57.837412054362431</v>
      </c>
    </row>
    <row r="8" spans="1:9" ht="18" customHeight="1" x14ac:dyDescent="0.2">
      <c r="A8" s="3" t="s">
        <v>93</v>
      </c>
      <c r="B8" s="3"/>
      <c r="C8" s="3"/>
      <c r="D8" s="3"/>
      <c r="E8" s="3"/>
      <c r="F8" s="3"/>
      <c r="G8" s="3"/>
      <c r="H8" s="3"/>
      <c r="I8" s="3"/>
    </row>
    <row r="9" spans="1:9" ht="15" customHeight="1" x14ac:dyDescent="0.2">
      <c r="A9" s="7" t="s">
        <v>94</v>
      </c>
      <c r="B9" s="12">
        <f>'Cash Flow Statement'!F20</f>
        <v>93.147730487671282</v>
      </c>
    </row>
    <row r="10" spans="1:9" ht="15" customHeight="1" x14ac:dyDescent="0.2">
      <c r="A10" s="7" t="s">
        <v>95</v>
      </c>
      <c r="B10" s="12">
        <f>B9*(1+Assumptions!B25)/(Assumptions!B24-Assumptions!B25)</f>
        <v>1370.6023200328773</v>
      </c>
    </row>
    <row r="11" spans="1:9" ht="15" customHeight="1" x14ac:dyDescent="0.2">
      <c r="A11" s="7" t="s">
        <v>96</v>
      </c>
      <c r="B11" s="12">
        <f>B10/(1+Assumptions!B24)^5</f>
        <v>851.03620594276151</v>
      </c>
    </row>
    <row r="12" spans="1:9" ht="18" customHeight="1" x14ac:dyDescent="0.2">
      <c r="A12" s="3" t="s">
        <v>97</v>
      </c>
      <c r="B12" s="3"/>
      <c r="C12" s="3"/>
      <c r="D12" s="3"/>
      <c r="E12" s="3"/>
      <c r="F12" s="3"/>
      <c r="G12" s="3"/>
      <c r="H12" s="3"/>
      <c r="I12" s="3"/>
    </row>
    <row r="13" spans="1:9" ht="15" customHeight="1" x14ac:dyDescent="0.2">
      <c r="A13" s="7" t="s">
        <v>98</v>
      </c>
      <c r="B13" s="12">
        <f>SUM(B7:F7)</f>
        <v>132.9746024176975</v>
      </c>
    </row>
    <row r="14" spans="1:9" ht="15" customHeight="1" x14ac:dyDescent="0.2">
      <c r="A14" s="7" t="s">
        <v>99</v>
      </c>
      <c r="B14" s="12">
        <f>B11</f>
        <v>851.03620594276151</v>
      </c>
    </row>
    <row r="15" spans="1:9" ht="15" customHeight="1" x14ac:dyDescent="0.2">
      <c r="A15" s="15" t="s">
        <v>100</v>
      </c>
      <c r="B15" s="16">
        <f>B13+B14</f>
        <v>984.01080836045901</v>
      </c>
    </row>
    <row r="16" spans="1:9" ht="15" customHeight="1" x14ac:dyDescent="0.2">
      <c r="A16" s="7" t="s">
        <v>101</v>
      </c>
      <c r="B16" s="12">
        <f>-Assumptions!B26</f>
        <v>85</v>
      </c>
    </row>
    <row r="17" spans="1:9" ht="15" customHeight="1" x14ac:dyDescent="0.2">
      <c r="A17" s="15" t="s">
        <v>102</v>
      </c>
      <c r="B17" s="16">
        <f>B15+B16</f>
        <v>1069.0108083604591</v>
      </c>
    </row>
    <row r="18" spans="1:9" ht="15" customHeight="1" x14ac:dyDescent="0.2">
      <c r="A18" s="7" t="s">
        <v>38</v>
      </c>
      <c r="B18" s="12">
        <f>Assumptions!B27</f>
        <v>125</v>
      </c>
    </row>
    <row r="19" spans="1:9" ht="19.5" customHeight="1" x14ac:dyDescent="0.2">
      <c r="A19" s="15" t="s">
        <v>103</v>
      </c>
      <c r="B19" s="22">
        <f>IFERROR(B17/B18,0)</f>
        <v>8.5520864668836722</v>
      </c>
    </row>
    <row r="21" spans="1:9" ht="18" customHeight="1" x14ac:dyDescent="0.2">
      <c r="A21" s="3" t="s">
        <v>104</v>
      </c>
      <c r="B21" s="3"/>
      <c r="C21" s="3"/>
      <c r="D21" s="3"/>
      <c r="E21" s="3"/>
      <c r="F21" s="3"/>
      <c r="G21" s="3"/>
      <c r="H21" s="3"/>
      <c r="I21" s="3"/>
    </row>
    <row r="22" spans="1:9" ht="15" customHeight="1" x14ac:dyDescent="0.2">
      <c r="A22" s="23" t="s">
        <v>32</v>
      </c>
      <c r="B22" s="24" t="s">
        <v>105</v>
      </c>
      <c r="C22" s="25">
        <v>0.08</v>
      </c>
      <c r="D22" s="25">
        <v>0.09</v>
      </c>
      <c r="E22" s="25">
        <v>0.1</v>
      </c>
      <c r="F22" s="25">
        <v>0.11</v>
      </c>
      <c r="G22" s="25">
        <v>0.12</v>
      </c>
    </row>
    <row r="23" spans="1:9" ht="15" customHeight="1" x14ac:dyDescent="0.2">
      <c r="B23" s="26">
        <v>0.02</v>
      </c>
      <c r="C23" s="27">
        <f>IFERROR((('Cash Flow Statement'!F20*(1+$B23)/(C$22-$B23)/(1+C$22)^5)+SUMPRODUCT('Cash Flow Statement'!B20:F20,1/(1+C$22)^{1,2,3,4,5})-Assumptions!B26)/Assumptions!B27,0)</f>
        <v>10.452815555905344</v>
      </c>
      <c r="D23" s="27">
        <f>IFERROR((('Cash Flow Statement'!F20*(1+$B23)/(D$22-$B23)/(1+D$22)^5)+SUMPRODUCT('Cash Flow Statement'!B20:F20,1/(1+D$22)^{1,2,3,4,5})-Assumptions!B26)/Assumptions!B27,0)</f>
        <v>8.8435756982243792</v>
      </c>
      <c r="E23" s="27">
        <f>IFERROR((('Cash Flow Statement'!F20*(1+$B23)/(E$22-$B23)/(1+E$22)^5)+SUMPRODUCT('Cash Flow Statement'!B20:F20,1/(1+E$22)^{1,2,3,4,5})-Assumptions!B26)/Assumptions!B27,0)</f>
        <v>7.6432128488865478</v>
      </c>
      <c r="F23" s="27">
        <f>IFERROR((('Cash Flow Statement'!F20*(1+$B23)/(F$22-$B23)/(1+F$22)^5)+SUMPRODUCT('Cash Flow Statement'!B20:F20,1/(1+F$22)^{1,2,3,4,5})-Assumptions!B26)/Assumptions!B27,0)</f>
        <v>6.7151704202072739</v>
      </c>
      <c r="G23" s="27">
        <f>IFERROR((('Cash Flow Statement'!F20*(1+$B23)/(G$22-$B23)/(1+G$22)^5)+SUMPRODUCT('Cash Flow Statement'!B20:F20,1/(1+G$22)^{1,2,3,4,5})-Assumptions!B26)/Assumptions!B27,0)</f>
        <v>5.9775274474219788</v>
      </c>
    </row>
    <row r="24" spans="1:9" ht="15" customHeight="1" x14ac:dyDescent="0.2">
      <c r="B24" s="26">
        <v>2.5000000000000001E-2</v>
      </c>
      <c r="C24" s="27">
        <f>IFERROR((('Cash Flow Statement'!F20*(1+$B24)/(C$22-$B24)/(1+C$22)^5)+SUMPRODUCT('Cash Flow Statement'!B20:F20,1/(1+C$22)^{1,2,3,4,5})-Assumptions!B26)/Assumptions!B27,0)</f>
        <v>11.282710860495365</v>
      </c>
      <c r="D24" s="27">
        <f>IFERROR((('Cash Flow Statement'!F20*(1+$B24)/(D$22-$B24)/(1+D$22)^5)+SUMPRODUCT('Cash Flow Statement'!B20:F20,1/(1+D$22)^{1,2,3,4,5})-Assumptions!B26)/Assumptions!B27,0)</f>
        <v>9.4236917477274336</v>
      </c>
      <c r="E24" s="27">
        <f>IFERROR((('Cash Flow Statement'!F20*(1+$B24)/(E$22-$B24)/(1+E$22)^5)+SUMPRODUCT('Cash Flow Statement'!B20:F20,1/(1+E$22)^{1,2,3,4,5})-Assumptions!B26)/Assumptions!B27,0)</f>
        <v>8.0673538706185397</v>
      </c>
      <c r="F24" s="27">
        <f>IFERROR((('Cash Flow Statement'!F20*(1+$B24)/(F$22-$B24)/(1+F$22)^5)+SUMPRODUCT('Cash Flow Statement'!B20:F20,1/(1+F$22)^{1,2,3,4,5})-Assumptions!B26)/Assumptions!B27,0)</f>
        <v>7.0360033365133638</v>
      </c>
      <c r="G24" s="27">
        <f>IFERROR((('Cash Flow Statement'!F20*(1+$B24)/(G$22-$B24)/(1+G$22)^5)+SUMPRODUCT('Cash Flow Statement'!B20:F20,1/(1+G$22)^{1,2,3,4,5})-Assumptions!B26)/Assumptions!B27,0)</f>
        <v>6.2267782545263817</v>
      </c>
    </row>
    <row r="25" spans="1:9" ht="15" customHeight="1" x14ac:dyDescent="0.2">
      <c r="B25" s="26">
        <v>0.03</v>
      </c>
      <c r="C25" s="27">
        <f>IFERROR((('Cash Flow Statement'!F20*(1+$B25)/(C$22-$B25)/(1+C$22)^5)+SUMPRODUCT('Cash Flow Statement'!B20:F20,1/(1+C$22)^{1,2,3,4,5})-Assumptions!B26)/Assumptions!B27,0)</f>
        <v>12.27858522600339</v>
      </c>
      <c r="D25" s="27">
        <f>IFERROR((('Cash Flow Statement'!F20*(1+$B25)/(D$22-$B25)/(1+D$22)^5)+SUMPRODUCT('Cash Flow Statement'!B20:F20,1/(1+D$22)^{1,2,3,4,5})-Assumptions!B26)/Assumptions!B27,0)</f>
        <v>10.100493805480998</v>
      </c>
      <c r="E25" s="28">
        <f>IFERROR((('Cash Flow Statement'!F20*(1+$B25)/(E$22-$B25)/(1+E$22)^5)+SUMPRODUCT('Cash Flow Statement'!B20:F20,1/(1+E$22)^{1,2,3,4,5})-Assumptions!B26)/Assumptions!B27,0)</f>
        <v>8.5520864668836722</v>
      </c>
      <c r="F25" s="27">
        <f>IFERROR((('Cash Flow Statement'!F20*(1+$B25)/(F$22-$B25)/(1+F$22)^5)+SUMPRODUCT('Cash Flow Statement'!B20:F20,1/(1+F$22)^{1,2,3,4,5})-Assumptions!B26)/Assumptions!B27,0)</f>
        <v>7.3969403673577148</v>
      </c>
      <c r="G25" s="27">
        <f>IFERROR((('Cash Flow Statement'!F20*(1+$B25)/(G$22-$B25)/(1+G$22)^5)+SUMPRODUCT('Cash Flow Statement'!B20:F20,1/(1+G$22)^{1,2,3,4,5})-Assumptions!B26)/Assumptions!B27,0)</f>
        <v>6.503723595753498</v>
      </c>
    </row>
    <row r="26" spans="1:9" ht="15" customHeight="1" x14ac:dyDescent="0.2">
      <c r="B26" s="26">
        <v>3.5000000000000003E-2</v>
      </c>
      <c r="C26" s="27">
        <f>IFERROR((('Cash Flow Statement'!F20*(1+$B26)/(C$22-$B26)/(1+C$22)^5)+SUMPRODUCT('Cash Flow Statement'!B20:F20,1/(1+C$22)^{1,2,3,4,5})-Assumptions!B26)/Assumptions!B27,0)</f>
        <v>13.495765006068753</v>
      </c>
      <c r="D26" s="27">
        <f>IFERROR((('Cash Flow Statement'!F20*(1+$B26)/(D$22-$B26)/(1+D$22)^5)+SUMPRODUCT('Cash Flow Statement'!B20:F20,1/(1+D$22)^{1,2,3,4,5})-Assumptions!B26)/Assumptions!B27,0)</f>
        <v>10.900350782826122</v>
      </c>
      <c r="E26" s="27">
        <f>IFERROR((('Cash Flow Statement'!F20*(1+$B26)/(E$22-$B26)/(1+E$22)^5)+SUMPRODUCT('Cash Flow Statement'!B20:F20,1/(1+E$22)^{1,2,3,4,5})-Assumptions!B26)/Assumptions!B27,0)</f>
        <v>9.1113933087280561</v>
      </c>
      <c r="F26" s="27">
        <f>IFERROR((('Cash Flow Statement'!F20*(1+$B26)/(F$22-$B26)/(1+F$22)^5)+SUMPRODUCT('Cash Flow Statement'!B20:F20,1/(1+F$22)^{1,2,3,4,5})-Assumptions!B26)/Assumptions!B27,0)</f>
        <v>7.8060023356479782</v>
      </c>
      <c r="G26" s="27">
        <f>IFERROR((('Cash Flow Statement'!F20*(1+$B26)/(G$22-$B26)/(1+G$22)^5)+SUMPRODUCT('Cash Flow Statement'!B20:F20,1/(1+G$22)^{1,2,3,4,5})-Assumptions!B26)/Assumptions!B27,0)</f>
        <v>6.8132507418308617</v>
      </c>
    </row>
    <row r="27" spans="1:9" ht="15" customHeight="1" x14ac:dyDescent="0.2">
      <c r="B27" s="26">
        <v>0.04</v>
      </c>
      <c r="C27" s="27">
        <f>IFERROR((('Cash Flow Statement'!F20*(1+$B27)/(C$22-$B27)/(1+C$22)^5)+SUMPRODUCT('Cash Flow Statement'!B20:F20,1/(1+C$22)^{1,2,3,4,5})-Assumptions!B26)/Assumptions!B27,0)</f>
        <v>15.017239731150459</v>
      </c>
      <c r="D27" s="27">
        <f>IFERROR((('Cash Flow Statement'!F20*(1+$B27)/(D$22-$B27)/(1+D$22)^5)+SUMPRODUCT('Cash Flow Statement'!B20:F20,1/(1+D$22)^{1,2,3,4,5})-Assumptions!B26)/Assumptions!B27,0)</f>
        <v>11.860179155640267</v>
      </c>
      <c r="E27" s="27">
        <f>IFERROR((('Cash Flow Statement'!F20*(1+$B27)/(E$22-$B27)/(1+E$22)^5)+SUMPRODUCT('Cash Flow Statement'!B20:F20,1/(1+E$22)^{1,2,3,4,5})-Assumptions!B26)/Assumptions!B27,0)</f>
        <v>9.7639179575465054</v>
      </c>
      <c r="F27" s="27">
        <f>IFERROR((('Cash Flow Statement'!F20*(1+$B27)/(F$22-$B27)/(1+F$22)^5)+SUMPRODUCT('Cash Flow Statement'!B20:F20,1/(1+F$22)^{1,2,3,4,5})-Assumptions!B26)/Assumptions!B27,0)</f>
        <v>8.2735017279797081</v>
      </c>
      <c r="G27" s="27">
        <f>IFERROR((('Cash Flow Statement'!F20*(1+$B27)/(G$22-$B27)/(1+G$22)^5)+SUMPRODUCT('Cash Flow Statement'!B20:F20,1/(1+G$22)^{1,2,3,4,5})-Assumptions!B26)/Assumptions!B27,0)</f>
        <v>7.1614687811678976</v>
      </c>
    </row>
    <row r="28" spans="1:9" ht="15" customHeight="1" x14ac:dyDescent="0.2">
      <c r="A28" s="14" t="s">
        <v>106</v>
      </c>
    </row>
  </sheetData>
  <mergeCells count="5">
    <mergeCell ref="A1:I1"/>
    <mergeCell ref="A3:I3"/>
    <mergeCell ref="A8:I8"/>
    <mergeCell ref="A12:I12"/>
    <mergeCell ref="A21:I2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D14"/>
  <sheetViews>
    <sheetView zoomScaleNormal="100" workbookViewId="0"/>
  </sheetViews>
  <sheetFormatPr baseColWidth="10" defaultColWidth="8.6640625" defaultRowHeight="15" x14ac:dyDescent="0.2"/>
  <cols>
    <col min="1" max="1" width="28" customWidth="1"/>
    <col min="2" max="4" width="18" customWidth="1"/>
  </cols>
  <sheetData>
    <row r="1" spans="1:4" ht="21.75" customHeight="1" x14ac:dyDescent="0.2">
      <c r="A1" s="4" t="s">
        <v>107</v>
      </c>
      <c r="B1" s="4"/>
      <c r="C1" s="4"/>
      <c r="D1" s="4"/>
    </row>
    <row r="2" spans="1:4" ht="30" customHeight="1" x14ac:dyDescent="0.2">
      <c r="A2" s="6" t="s">
        <v>108</v>
      </c>
      <c r="B2" s="6" t="s">
        <v>109</v>
      </c>
      <c r="C2" s="6" t="s">
        <v>110</v>
      </c>
      <c r="D2" s="6" t="s">
        <v>111</v>
      </c>
    </row>
    <row r="3" spans="1:4" ht="15" customHeight="1" x14ac:dyDescent="0.2">
      <c r="A3" s="7" t="s">
        <v>112</v>
      </c>
      <c r="B3" s="29">
        <v>0.2</v>
      </c>
      <c r="C3" s="30">
        <v>0.3</v>
      </c>
      <c r="D3" s="31">
        <v>0.42</v>
      </c>
    </row>
    <row r="4" spans="1:4" ht="15" customHeight="1" x14ac:dyDescent="0.2">
      <c r="A4" s="7" t="s">
        <v>113</v>
      </c>
      <c r="B4" s="29">
        <v>0.7</v>
      </c>
      <c r="C4" s="30">
        <v>0.73</v>
      </c>
      <c r="D4" s="31">
        <v>0.76</v>
      </c>
    </row>
    <row r="5" spans="1:4" ht="15" customHeight="1" x14ac:dyDescent="0.2">
      <c r="A5" s="7" t="s">
        <v>114</v>
      </c>
      <c r="B5" s="29">
        <v>-0.05</v>
      </c>
      <c r="C5" s="30">
        <v>0.05</v>
      </c>
      <c r="D5" s="31">
        <v>0.14000000000000001</v>
      </c>
    </row>
    <row r="6" spans="1:4" ht="15" customHeight="1" x14ac:dyDescent="0.2">
      <c r="A6" s="15" t="s">
        <v>115</v>
      </c>
      <c r="B6" s="32">
        <f>ROUND(Assumptions!D8*(1+B3)*Assumptions!E9,0)</f>
        <v>400</v>
      </c>
      <c r="C6" s="33">
        <f>ROUND(Assumptions!D8*(1+C3)*Assumptions!E9,0)</f>
        <v>433</v>
      </c>
      <c r="D6" s="34">
        <f>ROUND(Assumptions!D8*(1+D3)*Assumptions!E9,0)</f>
        <v>473</v>
      </c>
    </row>
    <row r="7" spans="1:4" ht="15" customHeight="1" x14ac:dyDescent="0.2">
      <c r="A7" s="15" t="s">
        <v>116</v>
      </c>
      <c r="B7" s="35">
        <f>ROUND(B6*B5,0)</f>
        <v>-20</v>
      </c>
      <c r="C7" s="36">
        <f>ROUND(C6*C5,0)</f>
        <v>22</v>
      </c>
      <c r="D7" s="37">
        <f>ROUND(D6*D5,0)</f>
        <v>66</v>
      </c>
    </row>
    <row r="8" spans="1:4" ht="15" customHeight="1" x14ac:dyDescent="0.2">
      <c r="A8" s="7" t="s">
        <v>117</v>
      </c>
      <c r="B8" s="38">
        <v>4</v>
      </c>
      <c r="C8" s="39">
        <v>6</v>
      </c>
      <c r="D8" s="40">
        <v>9</v>
      </c>
    </row>
    <row r="9" spans="1:4" ht="15" customHeight="1" x14ac:dyDescent="0.2">
      <c r="A9" s="15" t="s">
        <v>103</v>
      </c>
      <c r="B9" s="41">
        <f>IFERROR((B6*B8-Assumptions!B26)/Assumptions!B27,0)</f>
        <v>13.48</v>
      </c>
      <c r="C9" s="42">
        <f>IFERROR((C6*C8-Assumptions!B26)/Assumptions!B27,0)</f>
        <v>21.463999999999999</v>
      </c>
      <c r="D9" s="43">
        <f>IFERROR((D6*D8-Assumptions!B26)/Assumptions!B27,0)</f>
        <v>34.735999999999997</v>
      </c>
    </row>
    <row r="11" spans="1:4" ht="15" customHeight="1" x14ac:dyDescent="0.2">
      <c r="A11" s="44" t="s">
        <v>118</v>
      </c>
    </row>
    <row r="12" spans="1:4" ht="15" customHeight="1" x14ac:dyDescent="0.2">
      <c r="A12" s="1" t="s">
        <v>119</v>
      </c>
      <c r="B12" s="1"/>
      <c r="C12" s="1"/>
      <c r="D12" s="1"/>
    </row>
    <row r="13" spans="1:4" ht="15" customHeight="1" x14ac:dyDescent="0.2">
      <c r="A13" s="1" t="s">
        <v>120</v>
      </c>
      <c r="B13" s="1"/>
      <c r="C13" s="1"/>
      <c r="D13" s="1"/>
    </row>
    <row r="14" spans="1:4" ht="15" customHeight="1" x14ac:dyDescent="0.2">
      <c r="A14" s="1" t="s">
        <v>121</v>
      </c>
      <c r="B14" s="1"/>
      <c r="C14" s="1"/>
      <c r="D14" s="1"/>
    </row>
  </sheetData>
  <mergeCells count="4">
    <mergeCell ref="A1:D1"/>
    <mergeCell ref="A12:D12"/>
    <mergeCell ref="A13:D13"/>
    <mergeCell ref="A14:D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Income Statement</vt:lpstr>
      <vt:lpstr>Cash Flow Statement</vt:lpstr>
      <vt:lpstr>DCF Valuation</vt:lpstr>
      <vt:lpstr>Scenario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Nelson Olawoyin</cp:lastModifiedBy>
  <cp:revision>0</cp:revision>
  <dcterms:created xsi:type="dcterms:W3CDTF">2026-03-16T23:47:08Z</dcterms:created>
  <dcterms:modified xsi:type="dcterms:W3CDTF">2026-05-08T00:59:01Z</dcterms:modified>
  <dc:language>en-US</dc:language>
</cp:coreProperties>
</file>